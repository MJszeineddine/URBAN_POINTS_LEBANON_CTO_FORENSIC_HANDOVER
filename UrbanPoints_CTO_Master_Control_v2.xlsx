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dbd819a1949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_DEFINITION" sheetId="1" r:id="R82f47350ef3341b8"/>
    <x:sheet xmlns:r="http://schemas.openxmlformats.org/officeDocument/2006/relationships" name="FULL_STACK_FEATURE_MATRIX" sheetId="2" r:id="Ra07697c651c44be5"/>
    <x:sheet xmlns:r="http://schemas.openxmlformats.org/officeDocument/2006/relationships" name="PROGRESS_CALCULATION" sheetId="3" r:id="R95db80545b0b464a"/>
    <x:sheet xmlns:r="http://schemas.openxmlformats.org/officeDocument/2006/relationships" name="GAP_ANALYSIS" sheetId="4" r:id="R10a0b54e07054ec9"/>
    <x:sheet xmlns:r="http://schemas.openxmlformats.org/officeDocument/2006/relationships" name="EXECUTION_BACKLOG" sheetId="5" r:id="Rc454219212bb4c49"/>
    <x:sheet xmlns:r="http://schemas.openxmlformats.org/officeDocument/2006/relationships" name="PROMPT_LOG" sheetId="6" r:id="R01e16e298eb14f11"/>
    <x:sheet xmlns:r="http://schemas.openxmlformats.org/officeDocument/2006/relationships" name="CHANGELOG" sheetId="7" r:id="R7a7ca5567d5144ca"/>
  </x:sheets>
  <x:definedNames>
    <x:definedName name="_xlnm._FilterDatabase" localSheetId="0" hidden="1">'PROJECT_DEFINITION'!$A$1:$F$1</x:definedName>
    <x:definedName name="_xlnm._FilterDatabase" localSheetId="1" hidden="1">'FULL_STACK_FEATURE_MATRIX'!$A$1:$AB$1</x:definedName>
    <x:definedName name="_xlnm._FilterDatabase" localSheetId="2" hidden="1">'PROGRESS_CALCULATION'!$A$1:$B$1</x:definedName>
    <x:definedName name="_xlnm._FilterDatabase" localSheetId="3" hidden="1">'GAP_ANALYSIS'!$A$1:$F$1</x:definedName>
    <x:definedName name="_xlnm._FilterDatabase" localSheetId="4" hidden="1">'EXECUTION_BACKLOG'!$A$1:$J$1</x:definedName>
    <x:definedName name="_xlnm._FilterDatabase" localSheetId="5" hidden="1">'PROMPT_LOG'!$A$1:$I$1</x:definedName>
    <x:definedName name="_xlnm._FilterDatabase" localSheetId="6" hidden="1">'CHANGELOG'!$A$1:$I$1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 hh:mm:ss"/>
    <x:numFmt numFmtId="165" formatCode="0.0&quot;%&quot;"/>
    <x:numFmt numFmtId="166" formatCode="yyyy-mm-dd h:mm:ss"/>
  </x:numFmts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1" fontId="0" fillId="0" borderId="1" xfId="0" applyAlignment="1">
      <x:alignment vertical="top" wrapText="1"/>
    </x:xf>
    <x:xf numFmtId="164" fontId="0" fillId="0" borderId="1" xfId="0" applyAlignment="1">
      <x:alignment vertical="top" wrapText="1"/>
    </x:xf>
    <x:xf numFmtId="165" fontId="0" fillId="0" borderId="1" xfId="0" applyAlignment="1">
      <x:alignment vertical="top" wrapText="1"/>
    </x:xf>
    <x:xf numFmtId="165" fontId="0" fillId="0" borderId="0" xfId="0"/>
    <x:xf numFmtId="1" fontId="0" fillId="0" borderId="0" xfId="0"/>
    <x:xf numFmtId="164" fontId="0" fillId="0" borderId="1" xfId="0" applyAlignment="1">
      <x:alignment vertical="top" wrapText="1"/>
    </x:xf>
    <x:xf numFmtId="165" fontId="0" fillId="0" borderId="1" xfId="0" applyAlignment="1">
      <x:alignment vertical="top" wrapText="1"/>
    </x:xf>
    <x:xf numFmtId="165" fontId="0" fillId="0" borderId="0" xfId="0"/>
  </x:cellXfs>
  <x:cellStyles count="1">
    <x:cellStyle name="Normal" xfId="0"/>
  </x:cellStyles>
  <x:dxfs count="3">
    <x:dxf>
      <x:fill>
        <x:patternFill>
          <x:bgColor rgb="00C6EFCE"/>
        </x:patternFill>
      </x:fill>
    </x:dxf>
    <x:dxf>
      <x:fill>
        <x:patternFill>
          <x:bgColor rgb="00FFEB9C"/>
        </x:patternFill>
      </x:fill>
    </x:dxf>
    <x:dxf>
      <x:fill>
        <x:patternFill>
          <x:bgColor rgb="00FFC7CE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11033233914041" /><Relationship Type="http://schemas.openxmlformats.org/officeDocument/2006/relationships/theme" Target="/xl/theme/theme1.xml" Id="R85e9e0615af64379" /><Relationship Type="http://schemas.openxmlformats.org/officeDocument/2006/relationships/sharedStrings" Target="/xl/sharedStrings.xml" Id="Rfd5becbf819d4ea9" /><Relationship Type="http://schemas.openxmlformats.org/officeDocument/2006/relationships/worksheet" Target="/xl/worksheets/sheet1.xml" Id="R82f47350ef3341b8" /><Relationship Type="http://schemas.openxmlformats.org/officeDocument/2006/relationships/worksheet" Target="/xl/worksheets/sheet2.xml" Id="Ra07697c651c44be5" /><Relationship Type="http://schemas.openxmlformats.org/officeDocument/2006/relationships/worksheet" Target="/xl/worksheets/sheet3.xml" Id="R95db80545b0b464a" /><Relationship Type="http://schemas.openxmlformats.org/officeDocument/2006/relationships/worksheet" Target="/xl/worksheets/sheet4.xml" Id="R10a0b54e07054ec9" /><Relationship Type="http://schemas.openxmlformats.org/officeDocument/2006/relationships/worksheet" Target="/xl/worksheets/sheet5.xml" Id="Rc454219212bb4c49" /><Relationship Type="http://schemas.openxmlformats.org/officeDocument/2006/relationships/worksheet" Target="/xl/worksheets/sheet6.xml" Id="R01e16e298eb14f11" /><Relationship Type="http://schemas.openxmlformats.org/officeDocument/2006/relationships/worksheet" Target="/xl/worksheets/sheet7.xml" Id="R7a7ca5567d5144c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customWidth="1"/>
    <x:col min="2" max="2" width="45" customWidth="1"/>
    <x:col min="3" max="3" width="12" customWidth="1"/>
    <x:col min="4" max="4" width="13.199999809265137" customWidth="1"/>
    <x:col min="5" max="5" width="14.300000190734863" customWidth="1"/>
    <x:col min="6" max="6" width="45" customWidth="1"/>
  </x:cols>
  <x:sheetData>
    <x:row r="1" ht="28" customHeight="1">
      <x:c r="A1" s="1" t="inlineStr">
        <x:is>
          <x:t xml:space="preserve">Domain</x:t>
        </x:is>
      </x:c>
      <x:c r="B1" s="1" t="inlineStr">
        <x:is>
          <x:t xml:space="preserve">Description</x:t>
        </x:is>
      </x:c>
      <x:c r="C1" s="1" t="inlineStr">
        <x:is>
          <x:t xml:space="preserve">Actors</x:t>
        </x:is>
      </x:c>
      <x:c r="D1" s="1" t="inlineStr">
        <x:is>
          <x:t xml:space="preserve">Entry_Points</x:t>
        </x:is>
      </x:c>
      <x:c r="E1" s="1" t="inlineStr">
        <x:is>
          <x:t xml:space="preserve">Exit_Outcomes</x:t>
        </x:is>
      </x:c>
      <x:c r="F1" s="1" t="inlineStr">
        <x:is>
          <x:t xml:space="preserve">Notes</x:t>
        </x:is>
      </x:c>
    </x:row>
    <x:row r="2">
      <x:c r="A2" s="2" t="inlineStr">
        <x:is>
          <x:t xml:space="preserve">Platform</x:t>
        </x:is>
      </x:c>
      <x:c r="B2" s="2" t="inlineStr">
        <x:is>
          <x:t xml:space="preserve">Location-based loyalty &amp; offers platform connecting customers, merchants, and admins in Lebanon.</x:t>
        </x:is>
      </x:c>
      <x:c r="C2" s="2" t="inlineStr">
        <x:is>
          <x:t xml:space="preserve">Customer; Merchant; Admin</x:t>
        </x:is>
      </x:c>
      <x:c r="D2" s="2" t="inlineStr">
        <x:is>
          <x:t xml:space="preserve">Mobile apps (Customer/Merchant); Web Admin</x:t>
        </x:is>
      </x:c>
      <x:c r="E2" s="2" t="inlineStr">
        <x:is>
          <x:t xml:space="preserve">Offer discovery → QR redemption; points ledger; moderated offers; subscription gating</x:t>
        </x:is>
      </x:c>
      <x:c r="F2" s="2" t="inlineStr">
        <x:is>
          <x:t xml:space="preserve">Source: SECTION 1 project definition.</x:t>
        </x:is>
      </x:c>
    </x:row>
    <x:row r="3">
      <x:c r="A3" s="2" t="inlineStr">
        <x:is>
          <x:t xml:space="preserve">Customer Flow</x:t>
        </x:is>
      </x:c>
      <x:c r="B3" s="2" t="inlineStr">
        <x:is>
          <x:t xml:space="preserve">Browse offers by location; generate QR for redemption; earn &amp; track points; receive notifications.</x:t>
        </x:is>
      </x:c>
      <x:c r="C3" s="2" t="inlineStr">
        <x:is>
          <x:t xml:space="preserve">Customer</x:t>
        </x:is>
      </x:c>
      <x:c r="D3" s="2" t="inlineStr">
        <x:is>
          <x:t xml:space="preserve">Mobile Customer app: location permission, offers list, offer detail/QR</x:t>
        </x:is>
      </x:c>
      <x:c r="E3" s="2" t="inlineStr">
        <x:is>
          <x:t xml:space="preserve">Redeemed offer recorded; points updated; history visible</x:t>
        </x:is>
      </x:c>
      <x:c r="F3" s="2" t="inlineStr">
        <x:is>
          <x:t xml:space="preserve">Payments for subscription not active (SECTION 5/12).</x:t>
        </x:is>
      </x:c>
    </x:row>
    <x:row r="4">
      <x:c r="A4" s="2" t="inlineStr">
        <x:is>
          <x:t xml:space="preserve">Merchant Flow</x:t>
        </x:is>
      </x:c>
      <x:c r="B4" s="2" t="inlineStr">
        <x:is>
          <x:t xml:space="preserve">Create offers; scan customer QR; enter PIN; complete redemption; basic analytics.</x:t>
        </x:is>
      </x:c>
      <x:c r="C4" s="2" t="inlineStr">
        <x:is>
          <x:t xml:space="preserve">Merchant</x:t>
        </x:is>
      </x:c>
      <x:c r="D4" s="2" t="inlineStr">
        <x:is>
          <x:t xml:space="preserve">Mobile Merchant app: create offer, QR scanner/PIN entry</x:t>
        </x:is>
      </x:c>
      <x:c r="E4" s="2" t="inlineStr">
        <x:is>
          <x:t xml:space="preserve">Offer created; redemption processed; points ledger updated</x:t>
        </x:is>
      </x:c>
      <x:c r="F4" s="2" t="inlineStr">
        <x:is>
          <x:t xml:space="preserve">Offer type selection missing; subscription UI gating missing.</x:t>
        </x:is>
      </x:c>
    </x:row>
    <x:row r="5">
      <x:c r="A5" s="2" t="inlineStr">
        <x:is>
          <x:t xml:space="preserve">Admin Flow</x:t>
        </x:is>
      </x:c>
      <x:c r="B5" s="2" t="inlineStr">
        <x:is>
          <x:t xml:space="preserve">Moderate platform: approve/reject/disable offers; suspend/block merchants; ban/unban users; change roles.</x:t>
        </x:is>
      </x:c>
      <x:c r="C5" s="2" t="inlineStr">
        <x:is>
          <x:t xml:space="preserve">Admin</x:t>
        </x:is>
      </x:c>
      <x:c r="D5" s="2" t="inlineStr">
        <x:is>
          <x:t xml:space="preserve">Web Admin /admin/* routes (guarded by admin claim)</x:t>
        </x:is>
      </x:c>
      <x:c r="E5" s="2" t="inlineStr">
        <x:is>
          <x:t xml:space="preserve">Offers/merchants/users state updated via mutations</x:t>
        </x:is>
      </x:c>
      <x:c r="F5" s="2" t="inlineStr">
        <x:is>
          <x:t xml:space="preserve">Mobile Admin app is skeleton/removed; web admin is functional (SECTION 7).</x:t>
        </x:is>
      </x:c>
    </x:row>
    <x:row r="6">
      <x:c r="A6" s="2" t="inlineStr">
        <x:is>
          <x:t xml:space="preserve">Subscriptions</x:t>
        </x:is>
      </x:c>
      <x:c r="B6" s="2" t="inlineStr">
        <x:is>
          <x:t xml:space="preserve">Customer ($8/mo) &amp; Merchant ($20/mo) subscriptions intended; enforced at backend gates.</x:t>
        </x:is>
      </x:c>
      <x:c r="C6" s="2" t="inlineStr">
        <x:is>
          <x:t xml:space="preserve">Customer; Merchant</x:t>
        </x:is>
      </x:c>
      <x:c r="D6" s="2" t="inlineStr">
        <x:is>
          <x:t xml:space="preserve">Backend checks at QR gen / offer create / redemption</x:t>
        </x:is>
      </x:c>
      <x:c r="E6" s="2" t="inlineStr">
        <x:is>
          <x:t xml:space="preserve">Access granted/denied based on subscription status</x:t>
        </x:is>
      </x:c>
      <x:c r="F6" s="2" t="inlineStr">
        <x:is>
          <x:t xml:space="preserve">Real payments disabled; auto-renewal TODO (SECTION 5/12).</x:t>
        </x:is>
      </x:c>
    </x:row>
    <x:row r="7">
      <x:c r="A7" s="2" t="inlineStr">
        <x:is>
          <x:t xml:space="preserve">Points</x:t>
        </x:is>
      </x:c>
      <x:c r="B7" s="2" t="inlineStr">
        <x:is>
          <x:t xml:space="preserve">Points balance + ledger; redemption history UI.</x:t>
        </x:is>
      </x:c>
      <x:c r="C7" s="2" t="inlineStr">
        <x:is>
          <x:t xml:space="preserve">Customer; Merchant</x:t>
        </x:is>
      </x:c>
      <x:c r="D7" s="2" t="inlineStr">
        <x:is>
          <x:t xml:space="preserve">Backend points functions; customer points screens</x:t>
        </x:is>
      </x:c>
      <x:c r="E7" s="2" t="inlineStr">
        <x:is>
          <x:t xml:space="preserve">Balance updated; ledger entries stored; history visible</x:t>
        </x:is>
      </x:c>
      <x:c r="F7" s="2" t="inlineStr">
        <x:is>
          <x:t xml:space="preserve">Confirmed wired (Points Tracking section).</x:t>
        </x:is>
      </x:c>
    </x:row>
    <x:row r="8">
      <x:c r="A8" s="2" t="inlineStr">
        <x:is>
          <x:t xml:space="preserve">Automation</x:t>
        </x:is>
      </x:c>
      <x:c r="B8" s="2" t="inlineStr">
        <x:is>
          <x:t xml:space="preserve">Schedulers for compliance, cleanup, reminders; plus triggers for offer status notifications.</x:t>
        </x:is>
      </x:c>
      <x:c r="C8" s="2" t="inlineStr">
        <x:is>
          <x:t xml:space="preserve">Admin; System</x:t>
        </x:is>
      </x:c>
      <x:c r="D8" s="2" t="inlineStr">
        <x:is>
          <x:t xml:space="preserve">Cloud Scheduler / pubsub.schedule; Firestore triggers</x:t>
        </x:is>
      </x:c>
      <x:c r="E8" s="2" t="inlineStr">
        <x:is>
          <x:t xml:space="preserve">Tokens cleaned; reminders sent; compliance enforced</x:t>
        </x:is>
      </x:c>
      <x:c r="F8" s="2" t="inlineStr">
        <x:is>
          <x:t xml:space="preserve">Schedulers currently disabled via Cloud Scheduler API (SECTION 12).</x:t>
        </x:is>
      </x:c>
    </x:row>
    <x:row r="9">
      <x:c r="A9" s="2" t="inlineStr">
        <x:is>
          <x:t xml:space="preserve">External Dependencies</x:t>
        </x:is>
      </x:c>
      <x:c r="B9" s="2" t="inlineStr">
        <x:is>
          <x:t xml:space="preserve">Stripe (payments), SMS gateway (OTP), Firebase Cloud Scheduler, FCM notifications, App stores.</x:t>
        </x:is>
      </x:c>
      <x:c r="C9" s="2" t="inlineStr">
        <x:is>
          <x:t xml:space="preserve">System</x:t>
        </x:is>
      </x:c>
      <x:c r="D9" s="2" t="inlineStr">
        <x:is>
          <x:t xml:space="preserve">Backend config/secrets; mobile app integrations</x:t>
        </x:is>
      </x:c>
      <x:c r="E9" s="2" t="inlineStr">
        <x:is>
          <x:t xml:space="preserve">Revenue processing; OTP auth; automated jobs; push notifications</x:t>
        </x:is>
      </x:c>
      <x:c r="F9" s="2" t="inlineStr">
        <x:is>
          <x:t xml:space="preserve">Multiple dependencies not enabled/configured (SECTION 5/6/12).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customWidth="1"/>
    <x:col min="2" max="2" width="13.199999809265137" customWidth="1"/>
    <x:col min="3" max="3" width="17.600000381469727" customWidth="1"/>
    <x:col min="4" max="4" width="18.700000762939453" customWidth="1"/>
    <x:col min="5" max="5" width="15.399999618530273" customWidth="1"/>
    <x:col min="6" max="6" width="18" customWidth="1"/>
    <x:col min="7" max="7" width="26.399999618530273" customWidth="1"/>
    <x:col min="8" max="8" width="24.200000762939453" customWidth="1"/>
    <x:col min="9" max="9" width="18" customWidth="1"/>
    <x:col min="10" max="10" width="26.399999618530273" customWidth="1"/>
    <x:col min="11" max="11" width="24.200000762939453" customWidth="1"/>
    <x:col min="12" max="12" width="18" customWidth="1"/>
    <x:col min="13" max="13" width="19.799999237060547" customWidth="1"/>
    <x:col min="14" max="14" width="17.600000381469727" customWidth="1"/>
    <x:col min="15" max="15" width="18" customWidth="1"/>
    <x:col min="16" max="16" width="22" customWidth="1"/>
    <x:col min="17" max="17" width="20.899999618530273" customWidth="1"/>
    <x:col min="18" max="18" width="13.199999809265137" customWidth="1"/>
    <x:col min="19" max="19" width="23.100000381469727" customWidth="1"/>
    <x:col min="20" max="20" width="13.199999809265137" customWidth="1"/>
    <x:col min="21" max="21" width="45" customWidth="1"/>
    <x:col min="22" max="22" width="12" customWidth="1"/>
    <x:col min="23" max="23" width="18" customWidth="1"/>
    <x:col min="24" max="24" width="16.5" customWidth="1"/>
    <x:col min="25" max="25" width="45" customWidth="1"/>
    <x:col min="26" max="26" width="16.5" customWidth="1"/>
    <x:col min="27" max="27" width="16.5" customWidth="1"/>
    <x:col min="28" max="28" width="45" customWidth="1"/>
  </x:cols>
  <x:sheetData>
    <x:row r="1" ht="28" customHeight="1">
      <x:c r="A1" s="1" t="inlineStr">
        <x:is>
          <x:t xml:space="preserve">Feature_ID</x:t>
        </x:is>
      </x:c>
      <x:c r="B1" s="1" t="inlineStr">
        <x:is>
          <x:t xml:space="preserve">Feature_Name</x:t>
        </x:is>
      </x:c>
      <x:c r="C1" s="1" t="inlineStr">
        <x:is>
          <x:t xml:space="preserve">Feature_Category</x:t>
        </x:is>
      </x:c>
      <x:c r="D1" s="1" t="inlineStr">
        <x:is>
          <x:t xml:space="preserve">Backend_Component</x:t>
        </x:is>
      </x:c>
      <x:c r="E1" s="1" t="inlineStr">
        <x:is>
          <x:t xml:space="preserve">Backend_Status</x:t>
        </x:is>
      </x:c>
      <x:c r="F1" s="1" t="inlineStr">
        <x:is>
          <x:t xml:space="preserve">Backend_Completion_%</x:t>
        </x:is>
      </x:c>
      <x:c r="G1" s="1" t="inlineStr">
        <x:is>
          <x:t xml:space="preserve">Mobile_Customer_Frontend</x:t>
        </x:is>
      </x:c>
      <x:c r="H1" s="1" t="inlineStr">
        <x:is>
          <x:t xml:space="preserve">Mobile_Customer_Status</x:t>
        </x:is>
      </x:c>
      <x:c r="I1" s="1" t="inlineStr">
        <x:is>
          <x:t xml:space="preserve">Mobile_Customer_Completion_%</x:t>
        </x:is>
      </x:c>
      <x:c r="J1" s="1" t="inlineStr">
        <x:is>
          <x:t xml:space="preserve">Mobile_Merchant_Frontend</x:t>
        </x:is>
      </x:c>
      <x:c r="K1" s="1" t="inlineStr">
        <x:is>
          <x:t xml:space="preserve">Mobile_Merchant_Status</x:t>
        </x:is>
      </x:c>
      <x:c r="L1" s="1" t="inlineStr">
        <x:is>
          <x:t xml:space="preserve">Mobile_Merchant_Completion_%</x:t>
        </x:is>
      </x:c>
      <x:c r="M1" s="1" t="inlineStr">
        <x:is>
          <x:t xml:space="preserve">Web_Admin_Frontend</x:t>
        </x:is>
      </x:c>
      <x:c r="N1" s="1" t="inlineStr">
        <x:is>
          <x:t xml:space="preserve">Web_Admin_Status</x:t>
        </x:is>
      </x:c>
      <x:c r="O1" s="1" t="inlineStr">
        <x:is>
          <x:t xml:space="preserve">Web_Admin_Completion_%</x:t>
        </x:is>
      </x:c>
      <x:c r="P1" s="1" t="inlineStr">
        <x:is>
          <x:t xml:space="preserve">API_or_Function_Name</x:t>
        </x:is>
      </x:c>
      <x:c r="Q1" s="1" t="inlineStr">
        <x:is>
          <x:t xml:space="preserve">Data_Model_Affected</x:t>
        </x:is>
      </x:c>
      <x:c r="R1" s="1" t="inlineStr">
        <x:is>
          <x:t xml:space="preserve">Dependencies</x:t>
        </x:is>
      </x:c>
      <x:c r="S1" s="1" t="inlineStr">
        <x:is>
          <x:t xml:space="preserve">Is_End_to_End_Working</x:t>
        </x:is>
      </x:c>
      <x:c r="T1" s="1" t="inlineStr">
        <x:is>
          <x:t xml:space="preserve">Blocker_Type</x:t>
        </x:is>
      </x:c>
      <x:c r="U1" s="1" t="inlineStr">
        <x:is>
          <x:t xml:space="preserve">Blocker_Description</x:t>
        </x:is>
      </x:c>
      <x:c r="V1" s="1" t="inlineStr">
        <x:is>
          <x:t xml:space="preserve">Priority</x:t>
        </x:is>
      </x:c>
      <x:c r="W1" s="1" t="inlineStr">
        <x:is>
          <x:t xml:space="preserve">Estimated_Effort_Hours</x:t>
        </x:is>
      </x:c>
      <x:c r="X1" s="1" t="inlineStr">
        <x:is>
          <x:t xml:space="preserve">Execution_Order</x:t>
        </x:is>
      </x:c>
      <x:c r="Y1" s="1" t="inlineStr">
        <x:is>
          <x:t xml:space="preserve">Notes</x:t>
        </x:is>
      </x:c>
      <x:c r="Z1" s="1" t="inlineStr">
        <x:is>
          <x:t xml:space="preserve">Last_Updated_At</x:t>
        </x:is>
      </x:c>
      <x:c r="AA1" s="1" t="inlineStr">
        <x:is>
          <x:t xml:space="preserve">Last_Updated_By</x:t>
        </x:is>
      </x:c>
      <x:c r="AB1" s="1" t="inlineStr">
        <x:is>
          <x:t xml:space="preserve">Evidence_Ref</x:t>
        </x:is>
      </x:c>
    </x:row>
    <x:row r="2">
      <x:c r="A2" s="2" t="inlineStr">
        <x:is>
          <x:t xml:space="preserve">F-001</x:t>
        </x:is>
      </x:c>
      <x:c r="B2" s="2" t="inlineStr">
        <x:is>
          <x:t xml:space="preserve">Offer discovery by location (Haversine + fallback)</x:t>
        </x:is>
      </x:c>
      <x:c r="C2" s="2" t="inlineStr">
        <x:is>
          <x:t xml:space="preserve">Core Offers</x:t>
        </x:is>
      </x:c>
      <x:c r="D2" s="2" t="inlineStr">
        <x:is>
          <x:t xml:space="preserve">firebase-functions/src/core/offers.ts</x:t>
        </x:is>
      </x:c>
      <x:c r="E2" s="2" t="inlineStr">
        <x:is>
          <x:t xml:space="preserve">Done</x:t>
        </x:is>
      </x:c>
      <x:c r="F2" s="3" t="n">
        <x:v>100</x:v>
      </x:c>
      <x:c r="G2" s="2" t="inlineStr">
        <x:is>
          <x:t xml:space="preserve">mobile-customer offers list + location_service</x:t>
        </x:is>
      </x:c>
      <x:c r="H2" s="2" t="inlineStr">
        <x:is>
          <x:t xml:space="preserve">Done</x:t>
        </x:is>
      </x:c>
      <x:c r="I2" s="3" t="n">
        <x:v>100</x:v>
      </x:c>
      <x:c r="J2" s="2" t="n"/>
      <x:c r="K2" s="2" t="n"/>
      <x:c r="L2" s="2" t="n"/>
      <x:c r="M2" s="2" t="n"/>
      <x:c r="N2" s="2" t="n"/>
      <x:c r="O2" s="2" t="n"/>
      <x:c r="P2" s="2" t="inlineStr">
        <x:is>
          <x:t xml:space="preserve">getOffersByLocationFunc / coreGetOffersByLocation</x:t>
        </x:is>
      </x:c>
      <x:c r="Q2" s="2" t="inlineStr">
        <x:is>
          <x:t xml:space="preserve">offers, merchants</x:t>
        </x:is>
      </x:c>
      <x:c r="R2" s="2" t="inlineStr">
        <x:is>
          <x:t xml:space="preserve">Maps API optional</x:t>
        </x:is>
      </x:c>
      <x:c r="S2" s="2" t="inlineStr">
        <x:is>
          <x:t xml:space="preserve">YES</x:t>
        </x:is>
      </x:c>
      <x:c r="T2" s="2" t="inlineStr">
        <x:is>
          <x:t xml:space="preserve">None</x:t>
        </x:is>
      </x:c>
      <x:c r="U2" s="2" t="inlineStr">
        <x:is>
          <x:t xml:space="preserve"/>
        </x:is>
      </x:c>
      <x:c r="V2" s="2" t="inlineStr">
        <x:is>
          <x:t xml:space="preserve">P2</x:t>
        </x:is>
      </x:c>
      <x:c r="W2" s="3" t="n">
        <x:v>8</x:v>
      </x:c>
      <x:c r="X2" s="3" t="n">
        <x:v>21</x:v>
      </x:c>
      <x:c r="Y2" s="2" t="inlineStr">
        <x:is>
          <x:t xml:space="preserve">Verified MATCHED.</x:t>
        </x:is>
      </x:c>
      <x:c r="Z2" s="8" t="n">
        <x:v>46030.15761975694</x:v>
      </x:c>
      <x:c r="AA2" s="2" t="inlineStr">
        <x:is>
          <x:t xml:space="preserve">ChatGPT</x:t>
        </x:is>
      </x:c>
      <x:c r="AB2" s="2" t="inlineStr">
        <x:is>
          <x:t xml:space="preserve">PDF p2 'Offer Discovery' table (Overall MATCHED)</x:t>
        </x:is>
      </x:c>
    </x:row>
    <x:row r="3">
      <x:c r="A3" s="2" t="inlineStr">
        <x:is>
          <x:t xml:space="preserve">F-002</x:t>
        </x:is>
      </x:c>
      <x:c r="B3" s="2" t="inlineStr">
        <x:is>
          <x:t xml:space="preserve">Secure QR token generation (60s expiry, device binding)</x:t>
        </x:is>
      </x:c>
      <x:c r="C3" s="2" t="inlineStr">
        <x:is>
          <x:t xml:space="preserve">Redemption</x:t>
        </x:is>
      </x:c>
      <x:c r="D3" s="2" t="inlineStr">
        <x:is>
          <x:t xml:space="preserve">firebase-functions/src/core/qr.ts</x:t>
        </x:is>
      </x:c>
      <x:c r="E3" s="2" t="inlineStr">
        <x:is>
          <x:t xml:space="preserve">Done</x:t>
        </x:is>
      </x:c>
      <x:c r="F3" s="3" t="n">
        <x:v>100</x:v>
      </x:c>
      <x:c r="G3" s="2" t="inlineStr">
        <x:is>
          <x:t xml:space="preserve">mobile-customer offer_detail_screen QR display</x:t>
        </x:is>
      </x:c>
      <x:c r="H3" s="2" t="inlineStr">
        <x:is>
          <x:t xml:space="preserve">Done</x:t>
        </x:is>
      </x:c>
      <x:c r="I3" s="3" t="n">
        <x:v>100</x:v>
      </x:c>
      <x:c r="J3" s="2" t="inlineStr">
        <x:is>
          <x:t xml:space="preserve">mobile-merchant qr_scanner_screen scanner</x:t>
        </x:is>
      </x:c>
      <x:c r="K3" s="2" t="inlineStr">
        <x:is>
          <x:t xml:space="preserve">Done</x:t>
        </x:is>
      </x:c>
      <x:c r="L3" s="3" t="n">
        <x:v>100</x:v>
      </x:c>
      <x:c r="M3" s="2" t="n"/>
      <x:c r="N3" s="2" t="n"/>
      <x:c r="O3" s="2" t="n"/>
      <x:c r="P3" s="2" t="inlineStr">
        <x:is>
          <x:t xml:space="preserve">generateSecureQRToken / coreGenerateSecureQRToken</x:t>
        </x:is>
      </x:c>
      <x:c r="Q3" s="2" t="inlineStr">
        <x:is>
          <x:t xml:space="preserve">qr_tokens, offers, users</x:t>
        </x:is>
      </x:c>
      <x:c r="R3" s="2" t="inlineStr">
        <x:is>
          <x:t xml:space="preserve">Firebase Functions</x:t>
        </x:is>
      </x:c>
      <x:c r="S3" s="2" t="inlineStr">
        <x:is>
          <x:t xml:space="preserve">YES</x:t>
        </x:is>
      </x:c>
      <x:c r="T3" s="2" t="inlineStr">
        <x:is>
          <x:t xml:space="preserve">None</x:t>
        </x:is>
      </x:c>
      <x:c r="U3" s="2" t="inlineStr">
        <x:is>
          <x:t xml:space="preserve"/>
        </x:is>
      </x:c>
      <x:c r="V3" s="2" t="inlineStr">
        <x:is>
          <x:t xml:space="preserve">P2</x:t>
        </x:is>
      </x:c>
      <x:c r="W3" s="3" t="n">
        <x:v>8</x:v>
      </x:c>
      <x:c r="X3" s="3" t="n">
        <x:v>22</x:v>
      </x:c>
      <x:c r="Y3" s="2" t="inlineStr">
        <x:is>
          <x:t xml:space="preserve">Verified MATCHED.</x:t>
        </x:is>
      </x:c>
      <x:c r="Z3" s="8" t="n">
        <x:v>46030.15761975694</x:v>
      </x:c>
      <x:c r="AA3" s="2" t="inlineStr">
        <x:is>
          <x:t xml:space="preserve">ChatGPT</x:t>
        </x:is>
      </x:c>
      <x:c r="AB3" s="2" t="inlineStr">
        <x:is>
          <x:t xml:space="preserve">PDF p2-3 'QR Generation &amp; Redemption' (60s expiry) + SECTION 4 item 2</x:t>
        </x:is>
      </x:c>
    </x:row>
    <x:row r="4">
      <x:c r="A4" s="2" t="inlineStr">
        <x:is>
          <x:t xml:space="preserve">F-003</x:t>
        </x:is>
      </x:c>
      <x:c r="B4" s="2" t="inlineStr">
        <x:is>
          <x:t xml:space="preserve">One-time PIN per redemption (6-digit, crypto.randomInt)</x:t>
        </x:is>
      </x:c>
      <x:c r="C4" s="2" t="inlineStr">
        <x:is>
          <x:t xml:space="preserve">Redemption</x:t>
        </x:is>
      </x:c>
      <x:c r="D4" s="2" t="inlineStr">
        <x:is>
          <x:t xml:space="preserve">firebase-functions/src/core/qr.ts</x:t>
        </x:is>
      </x:c>
      <x:c r="E4" s="2" t="inlineStr">
        <x:is>
          <x:t xml:space="preserve">Done</x:t>
        </x:is>
      </x:c>
      <x:c r="F4" s="3" t="n">
        <x:v>100</x:v>
      </x:c>
      <x:c r="G4" s="2" t="inlineStr">
        <x:is>
          <x:t xml:space="preserve">Customer displays PIN (within QR flow)</x:t>
        </x:is>
      </x:c>
      <x:c r="H4" s="2" t="inlineStr">
        <x:is>
          <x:t xml:space="preserve">Done</x:t>
        </x:is>
      </x:c>
      <x:c r="I4" s="3" t="n">
        <x:v>100</x:v>
      </x:c>
      <x:c r="J4" s="2" t="inlineStr">
        <x:is>
          <x:t xml:space="preserve">Merchant PIN entry screen</x:t>
        </x:is>
      </x:c>
      <x:c r="K4" s="2" t="inlineStr">
        <x:is>
          <x:t xml:space="preserve">Done</x:t>
        </x:is>
      </x:c>
      <x:c r="L4" s="3" t="n">
        <x:v>100</x:v>
      </x:c>
      <x:c r="M4" s="2" t="n"/>
      <x:c r="N4" s="2" t="n"/>
      <x:c r="O4" s="2" t="n"/>
      <x:c r="P4" s="2" t="inlineStr">
        <x:is>
          <x:t xml:space="preserve">coreValidatePIN / coreGeneratePIN</x:t>
        </x:is>
      </x:c>
      <x:c r="Q4" s="2" t="inlineStr">
        <x:is>
          <x:t xml:space="preserve">qr_tokens, redemptions</x:t>
        </x:is>
      </x:c>
      <x:c r="R4" s="2" t="inlineStr">
        <x:is>
          <x:t xml:space="preserve">Firebase Functions</x:t>
        </x:is>
      </x:c>
      <x:c r="S4" s="2" t="inlineStr">
        <x:is>
          <x:t xml:space="preserve">YES</x:t>
        </x:is>
      </x:c>
      <x:c r="T4" s="2" t="inlineStr">
        <x:is>
          <x:t xml:space="preserve">None</x:t>
        </x:is>
      </x:c>
      <x:c r="U4" s="2" t="inlineStr">
        <x:is>
          <x:t xml:space="preserve"/>
        </x:is>
      </x:c>
      <x:c r="V4" s="2" t="inlineStr">
        <x:is>
          <x:t xml:space="preserve">P2</x:t>
        </x:is>
      </x:c>
      <x:c r="W4" s="3" t="n">
        <x:v>8</x:v>
      </x:c>
      <x:c r="X4" s="3" t="n">
        <x:v>23</x:v>
      </x:c>
      <x:c r="Y4" s="2" t="inlineStr">
        <x:is>
          <x:t xml:space="preserve">Verified MATCHED.</x:t>
        </x:is>
      </x:c>
      <x:c r="Z4" s="8" t="n">
        <x:v>46030.15761975694</x:v>
      </x:c>
      <x:c r="AA4" s="2" t="inlineStr">
        <x:is>
          <x:t xml:space="preserve">ChatGPT</x:t>
        </x:is>
      </x:c>
      <x:c r="AB4" s="2" t="inlineStr">
        <x:is>
          <x:t xml:space="preserve">PDF p2-3 'QR Generation &amp; Redemption' (PIN generation/entry/validation) + SECTION 4 item 3</x:t>
        </x:is>
      </x:c>
    </x:row>
    <x:row r="5">
      <x:c r="A5" s="2" t="inlineStr">
        <x:is>
          <x:t xml:space="preserve">F-004</x:t>
        </x:is>
      </x:c>
      <x:c r="B5" s="2" t="inlineStr">
        <x:is>
          <x:t xml:space="preserve">Offer redemption atomic transaction + idempotency</x:t>
        </x:is>
      </x:c>
      <x:c r="C5" s="2" t="inlineStr">
        <x:is>
          <x:t xml:space="preserve">Redemption</x:t>
        </x:is>
      </x:c>
      <x:c r="D5" s="2" t="inlineStr">
        <x:is>
          <x:t xml:space="preserve">firebase-functions/src/core/points.ts</x:t>
        </x:is>
      </x:c>
      <x:c r="E5" s="2" t="inlineStr">
        <x:is>
          <x:t xml:space="preserve">Done</x:t>
        </x:is>
      </x:c>
      <x:c r="F5" s="3" t="n">
        <x:v>100</x:v>
      </x:c>
      <x:c r="G5" s="2" t="inlineStr">
        <x:is>
          <x:t xml:space="preserve">Redeem button -&gt; QR flow</x:t>
        </x:is>
      </x:c>
      <x:c r="H5" s="2" t="inlineStr">
        <x:is>
          <x:t xml:space="preserve">Done</x:t>
        </x:is>
      </x:c>
      <x:c r="I5" s="3" t="n">
        <x:v>100</x:v>
      </x:c>
      <x:c r="J5" s="2" t="inlineStr">
        <x:is>
          <x:t xml:space="preserve">Scan -&gt; validate -&gt; confirm redemption</x:t>
        </x:is>
      </x:c>
      <x:c r="K5" s="2" t="inlineStr">
        <x:is>
          <x:t xml:space="preserve">Done</x:t>
        </x:is>
      </x:c>
      <x:c r="L5" s="3" t="n">
        <x:v>100</x:v>
      </x:c>
      <x:c r="M5" s="2" t="n"/>
      <x:c r="N5" s="2" t="n"/>
      <x:c r="O5" s="2" t="n"/>
      <x:c r="P5" s="2" t="inlineStr">
        <x:is>
          <x:t xml:space="preserve">processRedemption / coreValidateRedemption</x:t>
        </x:is>
      </x:c>
      <x:c r="Q5" s="2" t="inlineStr">
        <x:is>
          <x:t xml:space="preserve">redemptions, points_ledger, users</x:t>
        </x:is>
      </x:c>
      <x:c r="R5" s="2" t="inlineStr">
        <x:is>
          <x:t xml:space="preserve">Firestore transactions</x:t>
        </x:is>
      </x:c>
      <x:c r="S5" s="2" t="inlineStr">
        <x:is>
          <x:t xml:space="preserve">YES</x:t>
        </x:is>
      </x:c>
      <x:c r="T5" s="2" t="inlineStr">
        <x:is>
          <x:t xml:space="preserve">None</x:t>
        </x:is>
      </x:c>
      <x:c r="U5" s="2" t="inlineStr">
        <x:is>
          <x:t xml:space="preserve"/>
        </x:is>
      </x:c>
      <x:c r="V5" s="2" t="inlineStr">
        <x:is>
          <x:t xml:space="preserve">P2</x:t>
        </x:is>
      </x:c>
      <x:c r="W5" s="3" t="n">
        <x:v>12</x:v>
      </x:c>
      <x:c r="X5" s="3" t="n">
        <x:v>24</x:v>
      </x:c>
      <x:c r="Y5" s="2" t="inlineStr">
        <x:is>
          <x:t xml:space="preserve">Critical core flow.</x:t>
        </x:is>
      </x:c>
      <x:c r="Z5" s="8" t="n">
        <x:v>46030.15761975694</x:v>
      </x:c>
      <x:c r="AA5" s="2" t="inlineStr">
        <x:is>
          <x:t xml:space="preserve">ChatGPT</x:t>
        </x:is>
      </x:c>
      <x:c r="AB5" s="2" t="inlineStr">
        <x:is>
          <x:t xml:space="preserve">PDF p3 'Redemption idempotency check' + SECTION 4 item 4</x:t>
        </x:is>
      </x:c>
    </x:row>
    <x:row r="6">
      <x:c r="A6" s="2" t="inlineStr">
        <x:is>
          <x:t xml:space="preserve">F-005</x:t>
        </x:is>
      </x:c>
      <x:c r="B6" s="2" t="inlineStr">
        <x:is>
          <x:t xml:space="preserve">Points balance + ledger (history UI)</x:t>
        </x:is>
      </x:c>
      <x:c r="C6" s="2" t="inlineStr">
        <x:is>
          <x:t xml:space="preserve">Points</x:t>
        </x:is>
      </x:c>
      <x:c r="D6" s="2" t="inlineStr">
        <x:is>
          <x:t xml:space="preserve">firebase-functions/src/core/points.ts</x:t>
        </x:is>
      </x:c>
      <x:c r="E6" s="2" t="inlineStr">
        <x:is>
          <x:t xml:space="preserve">Done</x:t>
        </x:is>
      </x:c>
      <x:c r="F6" s="3" t="n">
        <x:v>100</x:v>
      </x:c>
      <x:c r="G6" s="2" t="inlineStr">
        <x:is>
          <x:t xml:space="preserve">points_history_screen(_v2)</x:t>
        </x:is>
      </x:c>
      <x:c r="H6" s="2" t="inlineStr">
        <x:is>
          <x:t xml:space="preserve">Done</x:t>
        </x:is>
      </x:c>
      <x:c r="I6" s="3" t="n">
        <x:v>100</x:v>
      </x:c>
      <x:c r="J6" s="2" t="n"/>
      <x:c r="K6" s="2" t="n"/>
      <x:c r="L6" s="2" t="n"/>
      <x:c r="M6" s="2" t="n"/>
      <x:c r="N6" s="2" t="n"/>
      <x:c r="O6" s="2" t="n"/>
      <x:c r="P6" s="2" t="inlineStr">
        <x:is>
          <x:t xml:space="preserve">getPointsBalance / ledger writes</x:t>
        </x:is>
      </x:c>
      <x:c r="Q6" s="2" t="inlineStr">
        <x:is>
          <x:t xml:space="preserve">points_ledger, users</x:t>
        </x:is>
      </x:c>
      <x:c r="R6" s="2" t="inlineStr">
        <x:is>
          <x:t xml:space="preserve">Firestore</x:t>
        </x:is>
      </x:c>
      <x:c r="S6" s="2" t="inlineStr">
        <x:is>
          <x:t xml:space="preserve">YES</x:t>
        </x:is>
      </x:c>
      <x:c r="T6" s="2" t="inlineStr">
        <x:is>
          <x:t xml:space="preserve">None</x:t>
        </x:is>
      </x:c>
      <x:c r="U6" s="2" t="inlineStr">
        <x:is>
          <x:t xml:space="preserve"/>
        </x:is>
      </x:c>
      <x:c r="V6" s="2" t="inlineStr">
        <x:is>
          <x:t xml:space="preserve">P2</x:t>
        </x:is>
      </x:c>
      <x:c r="W6" s="3" t="n">
        <x:v>8</x:v>
      </x:c>
      <x:c r="X6" s="3" t="n">
        <x:v>25</x:v>
      </x:c>
      <x:c r="Y6" s="2" t="inlineStr">
        <x:is>
          <x:t xml:space="preserve">Verified MATCHED.</x:t>
        </x:is>
      </x:c>
      <x:c r="Z6" s="8" t="n">
        <x:v>46030.15761975694</x:v>
      </x:c>
      <x:c r="AA6" s="2" t="inlineStr">
        <x:is>
          <x:t xml:space="preserve">ChatGPT</x:t>
        </x:is>
      </x:c>
      <x:c r="AB6" s="2" t="inlineStr">
        <x:is>
          <x:t xml:space="preserve">PDF p3 'Points Tracking' table (Overall MATCHED) + SECTION 4 item 5</x:t>
        </x:is>
      </x:c>
    </x:row>
    <x:row r="7">
      <x:c r="A7" s="2" t="inlineStr">
        <x:is>
          <x:t xml:space="preserve">F-006</x:t>
        </x:is>
      </x:c>
      <x:c r="B7" s="2" t="inlineStr">
        <x:is>
          <x:t xml:space="preserve">Subscription enforcement at gates (QR gen / offer create / redemption)</x:t>
        </x:is>
      </x:c>
      <x:c r="C7" s="2" t="inlineStr">
        <x:is>
          <x:t xml:space="preserve">Subscriptions</x:t>
        </x:is>
      </x:c>
      <x:c r="D7" s="2" t="inlineStr">
        <x:is>
          <x:t xml:space="preserve">firebase-functions/src/core/qr.ts + core/offers.ts + core/indexCore.ts</x:t>
        </x:is>
      </x:c>
      <x:c r="E7" s="2" t="inlineStr">
        <x:is>
          <x:t xml:space="preserve">Done</x:t>
        </x:is>
      </x:c>
      <x:c r="F7" s="3" t="n">
        <x:v>100</x:v>
      </x:c>
      <x:c r="G7" s="2" t="inlineStr">
        <x:is>
          <x:t xml:space="preserve">Subscription status UI model only (no gating UX)</x:t>
        </x:is>
      </x:c>
      <x:c r="H7" s="2" t="inlineStr">
        <x:is>
          <x:t xml:space="preserve">Partial</x:t>
        </x:is>
      </x:c>
      <x:c r="I7" s="3" t="n">
        <x:v>20</x:v>
      </x:c>
      <x:c r="J7" s="2" t="inlineStr">
        <x:is>
          <x:t xml:space="preserve">checkSubscriptionAccess() exists but not gating offer creation UI</x:t>
        </x:is>
      </x:c>
      <x:c r="K7" s="2" t="inlineStr">
        <x:is>
          <x:t xml:space="preserve">Partial</x:t>
        </x:is>
      </x:c>
      <x:c r="L7" s="3" t="n">
        <x:v>20</x:v>
      </x:c>
      <x:c r="M7" s="2" t="inlineStr">
        <x:is>
          <x:t xml:space="preserve">Admin can view/suspend indirectly via claims/Firestore</x:t>
        </x:is>
      </x:c>
      <x:c r="N7" s="2" t="inlineStr">
        <x:is>
          <x:t xml:space="preserve">Partial</x:t>
        </x:is>
      </x:c>
      <x:c r="O7" s="3" t="n">
        <x:v>40</x:v>
      </x:c>
      <x:c r="P7" s="2" t="inlineStr">
        <x:is>
          <x:t xml:space="preserve">subscription checks inside core functions</x:t>
        </x:is>
      </x:c>
      <x:c r="Q7" s="2" t="inlineStr">
        <x:is>
          <x:t xml:space="preserve">users, subscriptions, claims</x:t>
        </x:is>
      </x:c>
      <x:c r="R7" s="2" t="inlineStr">
        <x:is>
          <x:t xml:space="preserve">Stripe (planned)</x:t>
        </x:is>
      </x:c>
      <x:c r="S7" s="2" t="inlineStr">
        <x:is>
          <x:t xml:space="preserve">NO</x:t>
        </x:is>
      </x:c>
      <x:c r="T7" s="2" t="inlineStr">
        <x:is>
          <x:t xml:space="preserve">Tech</x:t>
        </x:is>
      </x:c>
      <x:c r="U7" s="2" t="inlineStr">
        <x:is>
          <x:t xml:space="preserve">Backend enforces subscription checks, but customer/merchant UIs do not gate or show clear expiry errors.</x:t>
        </x:is>
      </x:c>
      <x:c r="V7" s="2" t="inlineStr">
        <x:is>
          <x:t xml:space="preserve">P1</x:t>
        </x:is>
      </x:c>
      <x:c r="W7" s="3" t="n">
        <x:v>24</x:v>
      </x:c>
      <x:c r="X7" s="3" t="n">
        <x:v>26</x:v>
      </x:c>
      <x:c r="Y7" s="2" t="inlineStr">
        <x:is>
          <x:t xml:space="preserve">Backend enforces, but customer/merchant UX not complete.</x:t>
        </x:is>
      </x:c>
      <x:c r="Z7" s="8" t="n">
        <x:v>46030.15761975694</x:v>
      </x:c>
      <x:c r="AA7" s="2" t="inlineStr">
        <x:is>
          <x:t xml:space="preserve">ChatGPT</x:t>
        </x:is>
      </x:c>
      <x:c r="AB7" s="2" t="inlineStr">
        <x:is>
          <x:t xml:space="preserve">PDF p3 'Subscription Enforcement' table (Overall PARTIAL) + SECTION 4 item 6</x:t>
        </x:is>
      </x:c>
    </x:row>
    <x:row r="8">
      <x:c r="A8" s="2" t="inlineStr">
        <x:is>
          <x:t xml:space="preserve">F-007</x:t>
        </x:is>
      </x:c>
      <x:c r="B8" s="2" t="inlineStr">
        <x:is>
          <x:t xml:space="preserve">Subscription payments (Stripe) enabled + deployed</x:t>
        </x:is>
      </x:c>
      <x:c r="C8" s="2" t="inlineStr">
        <x:is>
          <x:t xml:space="preserve">Payments</x:t>
        </x:is>
      </x:c>
      <x:c r="D8" s="2" t="inlineStr">
        <x:is>
          <x:t xml:space="preserve">firebase-functions/src/stripe.ts</x:t>
        </x:is>
      </x:c>
      <x:c r="E8" s="2" t="inlineStr">
        <x:is>
          <x:t xml:space="preserve">Partial</x:t>
        </x:is>
      </x:c>
      <x:c r="F8" s="3" t="n">
        <x:v>30</x:v>
      </x:c>
      <x:c r="G8" s="2" t="inlineStr">
        <x:is>
          <x:t xml:space="preserve">No payment UI</x:t>
        </x:is>
      </x:c>
      <x:c r="H8" s="2" t="inlineStr">
        <x:is>
          <x:t xml:space="preserve">Not Started</x:t>
        </x:is>
      </x:c>
      <x:c r="I8" s="3" t="n">
        <x:v>0</x:v>
      </x:c>
      <x:c r="J8" s="2" t="inlineStr">
        <x:is>
          <x:t xml:space="preserve">No payment UI</x:t>
        </x:is>
      </x:c>
      <x:c r="K8" s="2" t="inlineStr">
        <x:is>
          <x:t xml:space="preserve">Not Started</x:t>
        </x:is>
      </x:c>
      <x:c r="L8" s="3" t="n">
        <x:v>0</x:v>
      </x:c>
      <x:c r="M8" s="2" t="inlineStr">
        <x:is>
          <x:t xml:space="preserve">No pricing controls; Stripe disabled</x:t>
        </x:is>
      </x:c>
      <x:c r="N8" s="2" t="inlineStr">
        <x:is>
          <x:t xml:space="preserve">Not Started</x:t>
        </x:is>
      </x:c>
      <x:c r="O8" s="3" t="n">
        <x:v>0</x:v>
      </x:c>
      <x:c r="P8" s="2" t="inlineStr">
        <x:is>
          <x:t xml:space="preserve">initiatePaymentCallable / stripeWebhook</x:t>
        </x:is>
      </x:c>
      <x:c r="Q8" s="2" t="inlineStr">
        <x:is>
          <x:t xml:space="preserve">subscriptions, payments</x:t>
        </x:is>
      </x:c>
      <x:c r="R8" s="2" t="inlineStr">
        <x:is>
          <x:t xml:space="preserve">Stripe</x:t>
        </x:is>
      </x:c>
      <x:c r="S8" s="2" t="inlineStr">
        <x:is>
          <x:t xml:space="preserve">NO</x:t>
        </x:is>
      </x:c>
      <x:c r="T8" s="2" t="inlineStr">
        <x:is>
          <x:t xml:space="preserve">Business</x:t>
        </x:is>
      </x:c>
      <x:c r="U8" s="2" t="inlineStr">
        <x:is>
          <x:t xml:space="preserve">Stripe disabled (STRIPE_ENABLED=0); no mobile payment UI; no payment method storage.</x:t>
        </x:is>
      </x:c>
      <x:c r="V8" s="2" t="inlineStr">
        <x:is>
          <x:t xml:space="preserve">P0</x:t>
        </x:is>
      </x:c>
      <x:c r="W8" s="3" t="n">
        <x:v>80</x:v>
      </x:c>
      <x:c r="X8" s="3" t="n">
        <x:v>3</x:v>
      </x:c>
      <x:c r="Y8" s="2" t="inlineStr">
        <x:is>
          <x:t xml:space="preserve">Hard blocker #1 and #6 combined.</x:t>
        </x:is>
      </x:c>
      <x:c r="Z8" s="8" t="n">
        <x:v>46030.15761975694</x:v>
      </x:c>
      <x:c r="AA8" s="2" t="inlineStr">
        <x:is>
          <x:t xml:space="preserve">ChatGPT</x:t>
        </x:is>
      </x:c>
      <x:c r="AB8" s="2" t="inlineStr">
        <x:is>
          <x:t xml:space="preserve">PDF SECTION 5 item 1 + SECTION 12 blocker 1</x:t>
        </x:is>
      </x:c>
    </x:row>
    <x:row r="9">
      <x:c r="A9" s="2" t="inlineStr">
        <x:is>
          <x:t xml:space="preserve">F-008</x:t>
        </x:is>
      </x:c>
      <x:c r="B9" s="2" t="inlineStr">
        <x:is>
          <x:t xml:space="preserve">Payment webhook handlers working in production</x:t>
        </x:is>
      </x:c>
      <x:c r="C9" s="2" t="inlineStr">
        <x:is>
          <x:t xml:space="preserve">Payments</x:t>
        </x:is>
      </x:c>
      <x:c r="D9" s="2" t="inlineStr">
        <x:is>
          <x:t xml:space="preserve">firebase-functions/src/paymentWebhooks.ts</x:t>
        </x:is>
      </x:c>
      <x:c r="E9" s="2" t="inlineStr">
        <x:is>
          <x:t xml:space="preserve">Partial</x:t>
        </x:is>
      </x:c>
      <x:c r="F9" s="3" t="n">
        <x:v>20</x:v>
      </x:c>
      <x:c r="G9" s="2" t="n"/>
      <x:c r="H9" s="2" t="n"/>
      <x:c r="I9" s="2" t="n"/>
      <x:c r="J9" s="2" t="n"/>
      <x:c r="K9" s="2" t="n"/>
      <x:c r="L9" s="2" t="n"/>
      <x:c r="M9" s="2" t="n"/>
      <x:c r="N9" s="2" t="n"/>
      <x:c r="O9" s="2" t="n"/>
      <x:c r="P9" s="2" t="inlineStr">
        <x:is>
          <x:t xml:space="preserve">omtWebhook/whishWebhook/cardWebhook</x:t>
        </x:is>
      </x:c>
      <x:c r="Q9" s="2" t="inlineStr">
        <x:is>
          <x:t xml:space="preserve">payments, subscriptions</x:t>
        </x:is>
      </x:c>
      <x:c r="R9" s="2" t="inlineStr">
        <x:is>
          <x:t xml:space="preserve">IAM perms; gateways</x:t>
        </x:is>
      </x:c>
      <x:c r="S9" s="2" t="inlineStr">
        <x:is>
          <x:t xml:space="preserve">NO</x:t>
        </x:is>
      </x:c>
      <x:c r="T9" s="2" t="inlineStr">
        <x:is>
          <x:t xml:space="preserve">Tech</x:t>
        </x:is>
      </x:c>
      <x:c r="U9" s="2" t="inlineStr">
        <x:is>
          <x:t xml:space="preserve">Webhook handlers exist but commented/unfinished; required IAM/permissions not granted.</x:t>
        </x:is>
      </x:c>
      <x:c r="V9" s="2" t="inlineStr">
        <x:is>
          <x:t xml:space="preserve">P0</x:t>
        </x:is>
      </x:c>
      <x:c r="W9" s="3" t="n">
        <x:v>80</x:v>
      </x:c>
      <x:c r="X9" s="3" t="n">
        <x:v>4</x:v>
      </x:c>
      <x:c r="Y9" s="2" t="inlineStr">
        <x:is>
          <x:t xml:space="preserve">Hard blocker #6.</x:t>
        </x:is>
      </x:c>
      <x:c r="Z9" s="8" t="n">
        <x:v>46030.15761975694</x:v>
      </x:c>
      <x:c r="AA9" s="2" t="inlineStr">
        <x:is>
          <x:t xml:space="preserve">ChatGPT</x:t>
        </x:is>
      </x:c>
      <x:c r="AB9" s="2" t="inlineStr">
        <x:is>
          <x:t xml:space="preserve">PDF SECTION 5 item 10 + SECTION 12 blocker 6</x:t>
        </x:is>
      </x:c>
    </x:row>
    <x:row r="10">
      <x:c r="A10" s="2" t="inlineStr">
        <x:is>
          <x:t xml:space="preserve">F-009</x:t>
        </x:is>
      </x:c>
      <x:c r="B10" s="2" t="inlineStr">
        <x:is>
          <x:t xml:space="preserve">Subscription auto-renewal (real charge, not simulated)</x:t>
        </x:is>
      </x:c>
      <x:c r="C10" s="2" t="inlineStr">
        <x:is>
          <x:t xml:space="preserve">Payments/Automation</x:t>
        </x:is>
      </x:c>
      <x:c r="D10" s="2" t="inlineStr">
        <x:is>
          <x:t xml:space="preserve">firebase-functions/src/subscriptionAutomation.ts</x:t>
        </x:is>
      </x:c>
      <x:c r="E10" s="2" t="inlineStr">
        <x:is>
          <x:t xml:space="preserve">Partial</x:t>
        </x:is>
      </x:c>
      <x:c r="F10" s="3" t="n">
        <x:v>30</x:v>
      </x:c>
      <x:c r="G10" s="2" t="n"/>
      <x:c r="H10" s="2" t="n"/>
      <x:c r="I10" s="2" t="n"/>
      <x:c r="J10" s="2" t="n"/>
      <x:c r="K10" s="2" t="n"/>
      <x:c r="L10" s="2" t="n"/>
      <x:c r="M10" s="2" t="inlineStr">
        <x:is>
          <x:t xml:space="preserve">Admin can view users, not renewals UI</x:t>
        </x:is>
      </x:c>
      <x:c r="N10" s="2" t="inlineStr">
        <x:is>
          <x:t xml:space="preserve">Not Started</x:t>
        </x:is>
      </x:c>
      <x:c r="O10" s="3" t="n">
        <x:v>0</x:v>
      </x:c>
      <x:c r="P10" s="2" t="inlineStr">
        <x:is>
          <x:t xml:space="preserve">processSubscriptionRenewals (pubsub)</x:t>
        </x:is>
      </x:c>
      <x:c r="Q10" s="2" t="inlineStr">
        <x:is>
          <x:t xml:space="preserve">subscriptions, payments</x:t>
        </x:is>
      </x:c>
      <x:c r="R10" s="2" t="inlineStr">
        <x:is>
          <x:t xml:space="preserve">Stripe; Scheduler</x:t>
        </x:is>
      </x:c>
      <x:c r="S10" s="2" t="inlineStr">
        <x:is>
          <x:t xml:space="preserve">NO</x:t>
        </x:is>
      </x:c>
      <x:c r="T10" s="2" t="inlineStr">
        <x:is>
          <x:t xml:space="preserve">Tech</x:t>
        </x:is>
      </x:c>
      <x:c r="U10" s="2" t="inlineStr">
        <x:is>
          <x:t xml:space="preserve">Auto-renewal scheduled but disabled; TODO payment processing; simulated success.</x:t>
        </x:is>
      </x:c>
      <x:c r="V10" s="2" t="inlineStr">
        <x:is>
          <x:t xml:space="preserve">P0</x:t>
        </x:is>
      </x:c>
      <x:c r="W10" s="3" t="n">
        <x:v>24</x:v>
      </x:c>
      <x:c r="X10" s="3" t="n">
        <x:v>5</x:v>
      </x:c>
      <x:c r="Y10" s="2" t="inlineStr">
        <x:is>
          <x:t xml:space="preserve">Hard blocker #3.</x:t>
        </x:is>
      </x:c>
      <x:c r="Z10" s="8" t="n">
        <x:v>46030.15761975694</x:v>
      </x:c>
      <x:c r="AA10" s="2" t="inlineStr">
        <x:is>
          <x:t xml:space="preserve">ChatGPT</x:t>
        </x:is>
      </x:c>
      <x:c r="AB10" s="2" t="inlineStr">
        <x:is>
          <x:t xml:space="preserve">PDF SECTION 5 item 2 + SECTION 12 blocker 3</x:t>
        </x:is>
      </x:c>
    </x:row>
    <x:row r="11">
      <x:c r="A11" s="2" t="inlineStr">
        <x:is>
          <x:t xml:space="preserve">F-010</x:t>
        </x:is>
      </x:c>
      <x:c r="B11" s="2" t="inlineStr">
        <x:is>
          <x:t xml:space="preserve">Cloud Scheduler enabled + scheduled jobs executing</x:t>
        </x:is>
      </x:c>
      <x:c r="C11" s="2" t="inlineStr">
        <x:is>
          <x:t xml:space="preserve">Automation/Infra</x:t>
        </x:is>
      </x:c>
      <x:c r="D11" s="2" t="inlineStr">
        <x:is>
          <x:t xml:space="preserve">firebase-functions/src/index.ts + Scheduler config</x:t>
        </x:is>
      </x:c>
      <x:c r="E11" s="2" t="inlineStr">
        <x:is>
          <x:t xml:space="preserve">Not Started</x:t>
        </x:is>
      </x:c>
      <x:c r="F11" s="3" t="n">
        <x:v>0</x:v>
      </x:c>
      <x:c r="G11" s="2" t="n"/>
      <x:c r="H11" s="2" t="n"/>
      <x:c r="I11" s="2" t="n"/>
      <x:c r="J11" s="2" t="n"/>
      <x:c r="K11" s="2" t="n"/>
      <x:c r="L11" s="2" t="n"/>
      <x:c r="M11" s="2" t="n"/>
      <x:c r="N11" s="2" t="n"/>
      <x:c r="O11" s="2" t="n"/>
      <x:c r="P11" s="2" t="inlineStr">
        <x:is>
          <x:t xml:space="preserve">pubsub.schedule jobs</x:t>
        </x:is>
      </x:c>
      <x:c r="Q11" s="2" t="inlineStr">
        <x:is>
          <x:t xml:space="preserve">N/A</x:t>
        </x:is>
      </x:c>
      <x:c r="R11" s="2" t="inlineStr">
        <x:is>
          <x:t xml:space="preserve">Google Cloud Scheduler</x:t>
        </x:is>
      </x:c>
      <x:c r="S11" s="2" t="inlineStr">
        <x:is>
          <x:t xml:space="preserve">NO</x:t>
        </x:is>
      </x:c>
      <x:c r="T11" s="2" t="inlineStr">
        <x:is>
          <x:t xml:space="preserve">Infra</x:t>
        </x:is>
      </x:c>
      <x:c r="U11" s="2" t="inlineStr">
        <x:is>
          <x:t xml:space="preserve">Cloud Scheduler API not enabled; scheduled jobs not executing in production.</x:t>
        </x:is>
      </x:c>
      <x:c r="V11" s="2" t="inlineStr">
        <x:is>
          <x:t xml:space="preserve">P0</x:t>
        </x:is>
      </x:c>
      <x:c r="W11" s="3" t="n">
        <x:v>16</x:v>
      </x:c>
      <x:c r="X11" s="3" t="n">
        <x:v>2</x:v>
      </x:c>
      <x:c r="Y11" s="2" t="inlineStr">
        <x:is>
          <x:t xml:space="preserve">Hard blocker #4.</x:t>
        </x:is>
      </x:c>
      <x:c r="Z11" s="8" t="n">
        <x:v>46030.15761975694</x:v>
      </x:c>
      <x:c r="AA11" s="2" t="inlineStr">
        <x:is>
          <x:t xml:space="preserve">ChatGPT</x:t>
        </x:is>
      </x:c>
      <x:c r="AB11" s="2" t="inlineStr">
        <x:is>
          <x:t xml:space="preserve">PDF SECTION 12 blocker 4 (Cloud Scheduler API not enabled)</x:t>
        </x:is>
      </x:c>
    </x:row>
    <x:row r="12">
      <x:c r="A12" s="2" t="inlineStr">
        <x:is>
          <x:t xml:space="preserve">F-011</x:t>
        </x:is>
      </x:c>
      <x:c r="B12" s="2" t="inlineStr">
        <x:is>
          <x:t xml:space="preserve">QR token cleanup scheduler (7-day retention)</x:t>
        </x:is>
      </x:c>
      <x:c r="C12" s="2" t="inlineStr">
        <x:is>
          <x:t xml:space="preserve">Automation</x:t>
        </x:is>
      </x:c>
      <x:c r="D12" s="2" t="inlineStr">
        <x:is>
          <x:t xml:space="preserve">firebase-functions/src/phase3Scheduler.ts</x:t>
        </x:is>
      </x:c>
      <x:c r="E12" s="2" t="inlineStr">
        <x:is>
          <x:t xml:space="preserve">Partial</x:t>
        </x:is>
      </x:c>
      <x:c r="F12" s="3" t="n">
        <x:v>60</x:v>
      </x:c>
      <x:c r="G12" s="2" t="n"/>
      <x:c r="H12" s="2" t="n"/>
      <x:c r="I12" s="2" t="n"/>
      <x:c r="J12" s="2" t="n"/>
      <x:c r="K12" s="2" t="n"/>
      <x:c r="L12" s="2" t="n"/>
      <x:c r="M12" s="2" t="n"/>
      <x:c r="N12" s="2" t="n"/>
      <x:c r="O12" s="2" t="n"/>
      <x:c r="P12" s="2" t="inlineStr">
        <x:is>
          <x:t xml:space="preserve">cleanupExpiredQRTokens</x:t>
        </x:is>
      </x:c>
      <x:c r="Q12" s="2" t="inlineStr">
        <x:is>
          <x:t xml:space="preserve">qr_tokens</x:t>
        </x:is>
      </x:c>
      <x:c r="R12" s="2" t="inlineStr">
        <x:is>
          <x:t xml:space="preserve">Scheduler</x:t>
        </x:is>
      </x:c>
      <x:c r="S12" s="2" t="inlineStr">
        <x:is>
          <x:t xml:space="preserve">NO</x:t>
        </x:is>
      </x:c>
      <x:c r="T12" s="2" t="inlineStr">
        <x:is>
          <x:t xml:space="preserve">Infra</x:t>
        </x:is>
      </x:c>
      <x:c r="U12" s="2" t="inlineStr">
        <x:is>
          <x:t xml:space="preserve">Scheduler code exists, but Cloud Scheduler disabled → not proven executing end-to-end.</x:t>
        </x:is>
      </x:c>
      <x:c r="V12" s="2" t="inlineStr">
        <x:is>
          <x:t xml:space="preserve">P1</x:t>
        </x:is>
      </x:c>
      <x:c r="W12" s="3" t="n">
        <x:v>8</x:v>
      </x:c>
      <x:c r="X12" s="3" t="n">
        <x:v>9</x:v>
      </x:c>
      <x:c r="Y12" s="2" t="inlineStr">
        <x:is>
          <x:t xml:space="preserve">Confirmed working.</x:t>
        </x:is>
      </x:c>
      <x:c r="Z12" s="8" t="n">
        <x:v>46030.15761975694</x:v>
      </x:c>
      <x:c r="AA12" s="2" t="inlineStr">
        <x:is>
          <x:t xml:space="preserve">ChatGPT</x:t>
        </x:is>
      </x:c>
      <x:c r="AB12" s="2" t="inlineStr">
        <x:is>
          <x:t xml:space="preserve">PDF 'Automation &amp; Schedulers' table + SECTION 12 blocker 4</x:t>
        </x:is>
      </x:c>
    </x:row>
    <x:row r="13">
      <x:c r="A13" s="2" t="inlineStr">
        <x:is>
          <x:t xml:space="preserve">F-012</x:t>
        </x:is>
      </x:c>
      <x:c r="B13" s="2" t="inlineStr">
        <x:is>
          <x:t xml:space="preserve">Points expiry warnings notifications</x:t>
        </x:is>
      </x:c>
      <x:c r="C13" s="2" t="inlineStr">
        <x:is>
          <x:t xml:space="preserve">Automation/Notifications</x:t>
        </x:is>
      </x:c>
      <x:c r="D13" s="2" t="inlineStr">
        <x:is>
          <x:t xml:space="preserve">firebase-functions/src/phase3Scheduler.ts</x:t>
        </x:is>
      </x:c>
      <x:c r="E13" s="2" t="inlineStr">
        <x:is>
          <x:t xml:space="preserve">Partial</x:t>
        </x:is>
      </x:c>
      <x:c r="F13" s="3" t="n">
        <x:v>60</x:v>
      </x:c>
      <x:c r="G13" s="2" t="inlineStr">
        <x:is>
          <x:t xml:space="preserve">Receives notifications via FCM</x:t>
        </x:is>
      </x:c>
      <x:c r="H13" s="2" t="inlineStr">
        <x:is>
          <x:t xml:space="preserve">Done</x:t>
        </x:is>
      </x:c>
      <x:c r="I13" s="3" t="n">
        <x:v>100</x:v>
      </x:c>
      <x:c r="J13" s="2" t="inlineStr">
        <x:is>
          <x:t xml:space="preserve">Receives notifications via FCM</x:t>
        </x:is>
      </x:c>
      <x:c r="K13" s="2" t="inlineStr">
        <x:is>
          <x:t xml:space="preserve">Done</x:t>
        </x:is>
      </x:c>
      <x:c r="L13" s="3" t="n">
        <x:v>100</x:v>
      </x:c>
      <x:c r="M13" s="2" t="n"/>
      <x:c r="N13" s="2" t="n"/>
      <x:c r="O13" s="2" t="n"/>
      <x:c r="P13" s="2" t="inlineStr">
        <x:is>
          <x:t xml:space="preserve">sendPointsExpiryWarnings</x:t>
        </x:is>
      </x:c>
      <x:c r="Q13" s="2" t="inlineStr">
        <x:is>
          <x:t xml:space="preserve">users, points_ledger</x:t>
        </x:is>
      </x:c>
      <x:c r="R13" s="2" t="inlineStr">
        <x:is>
          <x:t xml:space="preserve">Firebase FCM</x:t>
        </x:is>
      </x:c>
      <x:c r="S13" s="2" t="inlineStr">
        <x:is>
          <x:t xml:space="preserve">NO</x:t>
        </x:is>
      </x:c>
      <x:c r="T13" s="2" t="inlineStr">
        <x:is>
          <x:t xml:space="preserve">Infra</x:t>
        </x:is>
      </x:c>
      <x:c r="U13" s="2" t="inlineStr">
        <x:is>
          <x:t xml:space="preserve">Scheduler code exists, but Cloud Scheduler disabled → not proven executing end-to-end.</x:t>
        </x:is>
      </x:c>
      <x:c r="V13" s="2" t="inlineStr">
        <x:is>
          <x:t xml:space="preserve">P1</x:t>
        </x:is>
      </x:c>
      <x:c r="W13" s="3" t="n">
        <x:v>8</x:v>
      </x:c>
      <x:c r="X13" s="3" t="n">
        <x:v>10</x:v>
      </x:c>
      <x:c r="Y13" s="2" t="inlineStr">
        <x:is>
          <x:t xml:space="preserve">Working.</x:t>
        </x:is>
      </x:c>
      <x:c r="Z13" s="8" t="n">
        <x:v>46030.15761975694</x:v>
      </x:c>
      <x:c r="AA13" s="2" t="inlineStr">
        <x:is>
          <x:t xml:space="preserve">ChatGPT</x:t>
        </x:is>
      </x:c>
      <x:c r="AB13" s="2" t="inlineStr">
        <x:is>
          <x:t xml:space="preserve">PDF 'Automation &amp; Schedulers' table + SECTION 12 blocker 4</x:t>
        </x:is>
      </x:c>
    </x:row>
    <x:row r="14">
      <x:c r="A14" s="2" t="inlineStr">
        <x:is>
          <x:t xml:space="preserve">F-013</x:t>
        </x:is>
      </x:c>
      <x:c r="B14" s="2" t="inlineStr">
        <x:is>
          <x:t xml:space="preserve">Offer status change notifications (trigger on admin action)</x:t>
        </x:is>
      </x:c>
      <x:c r="C14" s="2" t="inlineStr">
        <x:is>
          <x:t xml:space="preserve">Notifications</x:t>
        </x:is>
      </x:c>
      <x:c r="D14" s="2" t="inlineStr">
        <x:is>
          <x:t xml:space="preserve">firebase-functions/src/phase3Scheduler.ts</x:t>
        </x:is>
      </x:c>
      <x:c r="E14" s="2" t="inlineStr">
        <x:is>
          <x:t xml:space="preserve">Done</x:t>
        </x:is>
      </x:c>
      <x:c r="F14" s="3" t="n">
        <x:v>100</x:v>
      </x:c>
      <x:c r="G14" s="2" t="inlineStr">
        <x:is>
          <x:t xml:space="preserve">FCM receive handler</x:t>
        </x:is>
      </x:c>
      <x:c r="H14" s="2" t="inlineStr">
        <x:is>
          <x:t xml:space="preserve">Done</x:t>
        </x:is>
      </x:c>
      <x:c r="I14" s="3" t="n">
        <x:v>100</x:v>
      </x:c>
      <x:c r="J14" s="2" t="inlineStr">
        <x:is>
          <x:t xml:space="preserve">FCM receive handler</x:t>
        </x:is>
      </x:c>
      <x:c r="K14" s="2" t="inlineStr">
        <x:is>
          <x:t xml:space="preserve">Done</x:t>
        </x:is>
      </x:c>
      <x:c r="L14" s="3" t="n">
        <x:v>100</x:v>
      </x:c>
      <x:c r="M14" s="2" t="inlineStr">
        <x:is>
          <x:t xml:space="preserve">Admin triggers status updates</x:t>
        </x:is>
      </x:c>
      <x:c r="N14" s="2" t="inlineStr">
        <x:is>
          <x:t xml:space="preserve">Done</x:t>
        </x:is>
      </x:c>
      <x:c r="O14" s="3" t="n">
        <x:v>100</x:v>
      </x:c>
      <x:c r="P14" s="2" t="inlineStr">
        <x:is>
          <x:t xml:space="preserve">notifyOfferStatusChange</x:t>
        </x:is>
      </x:c>
      <x:c r="Q14" s="2" t="inlineStr">
        <x:is>
          <x:t xml:space="preserve">offers, users</x:t>
        </x:is>
      </x:c>
      <x:c r="R14" s="2" t="inlineStr">
        <x:is>
          <x:t xml:space="preserve">Firebase FCM</x:t>
        </x:is>
      </x:c>
      <x:c r="S14" s="2" t="inlineStr">
        <x:is>
          <x:t xml:space="preserve">YES</x:t>
        </x:is>
      </x:c>
      <x:c r="T14" s="2" t="inlineStr">
        <x:is>
          <x:t xml:space="preserve">None</x:t>
        </x:is>
      </x:c>
      <x:c r="U14" s="2" t="inlineStr">
        <x:is>
          <x:t xml:space="preserve"/>
        </x:is>
      </x:c>
      <x:c r="V14" s="2" t="inlineStr">
        <x:is>
          <x:t xml:space="preserve">P2</x:t>
        </x:is>
      </x:c>
      <x:c r="W14" s="3" t="n">
        <x:v>6</x:v>
      </x:c>
      <x:c r="X14" s="3" t="n">
        <x:v>27</x:v>
      </x:c>
      <x:c r="Y14" s="2" t="inlineStr">
        <x:is>
          <x:t xml:space="preserve">Working.</x:t>
        </x:is>
      </x:c>
      <x:c r="Z14" s="8" t="n">
        <x:v>46030.15761975694</x:v>
      </x:c>
      <x:c r="AA14" s="2" t="inlineStr">
        <x:is>
          <x:t xml:space="preserve">ChatGPT</x:t>
        </x:is>
      </x:c>
      <x:c r="AB14" s="2" t="inlineStr">
        <x:is>
          <x:t xml:space="preserve">PDF 'Automation &amp; Schedulers' table (Firestore trigger)</x:t>
        </x:is>
      </x:c>
    </x:row>
    <x:row r="15">
      <x:c r="A15" s="2" t="inlineStr">
        <x:is>
          <x:t xml:space="preserve">F-014</x:t>
        </x:is>
      </x:c>
      <x:c r="B15" s="2" t="inlineStr">
        <x:is>
          <x:t xml:space="preserve">Admin batch notifications (500-token batching)</x:t>
        </x:is>
      </x:c>
      <x:c r="C15" s="2" t="inlineStr">
        <x:is>
          <x:t xml:space="preserve">Notifications/Admin</x:t>
        </x:is>
      </x:c>
      <x:c r="D15" s="2" t="inlineStr">
        <x:is>
          <x:t xml:space="preserve">firebase-functions/src/phase3Notifications.ts</x:t>
        </x:is>
      </x:c>
      <x:c r="E15" s="2" t="inlineStr">
        <x:is>
          <x:t xml:space="preserve">Done</x:t>
        </x:is>
      </x:c>
      <x:c r="F15" s="3" t="n">
        <x:v>100</x:v>
      </x:c>
      <x:c r="G15" s="2" t="n"/>
      <x:c r="H15" s="2" t="n"/>
      <x:c r="I15" s="2" t="n"/>
      <x:c r="J15" s="2" t="n"/>
      <x:c r="K15" s="2" t="n"/>
      <x:c r="L15" s="2" t="n"/>
      <x:c r="M15" s="2" t="inlineStr">
        <x:is>
          <x:t xml:space="preserve">Web admin UI not present (function callable only)</x:t>
        </x:is>
      </x:c>
      <x:c r="N15" s="2" t="inlineStr">
        <x:is>
          <x:t xml:space="preserve">Partial</x:t>
        </x:is>
      </x:c>
      <x:c r="O15" s="3" t="n">
        <x:v>30</x:v>
      </x:c>
      <x:c r="P15" s="2" t="inlineStr">
        <x:is>
          <x:t xml:space="preserve">sendBatchNotification (admin-only)</x:t>
        </x:is>
      </x:c>
      <x:c r="Q15" s="2" t="inlineStr">
        <x:is>
          <x:t xml:space="preserve">fcm_tokens</x:t>
        </x:is>
      </x:c>
      <x:c r="R15" s="2" t="inlineStr">
        <x:is>
          <x:t xml:space="preserve">Firebase FCM</x:t>
        </x:is>
      </x:c>
      <x:c r="S15" s="2" t="inlineStr">
        <x:is>
          <x:t xml:space="preserve">NO</x:t>
        </x:is>
      </x:c>
      <x:c r="T15" s="2" t="inlineStr">
        <x:is>
          <x:t xml:space="preserve">Tech</x:t>
        </x:is>
      </x:c>
      <x:c r="U15" s="2" t="inlineStr">
        <x:is>
          <x:t xml:space="preserve">Backend callable exists; PDF indicates no admin UI for push campaigns.</x:t>
        </x:is>
      </x:c>
      <x:c r="V15" s="2" t="inlineStr">
        <x:is>
          <x:t xml:space="preserve">P2</x:t>
        </x:is>
      </x:c>
      <x:c r="W15" s="3" t="n">
        <x:v>24</x:v>
      </x:c>
      <x:c r="X15" s="3" t="n">
        <x:v>28</x:v>
      </x:c>
      <x:c r="Y15" s="2" t="inlineStr">
        <x:is>
          <x:t xml:space="preserve">Report: no campaign UI.</x:t>
        </x:is>
      </x:c>
      <x:c r="Z15" s="8" t="n">
        <x:v>46030.15761975694</x:v>
      </x:c>
      <x:c r="AA15" s="2" t="inlineStr">
        <x:is>
          <x:t xml:space="preserve">ChatGPT</x:t>
        </x:is>
      </x:c>
      <x:c r="AB15" s="2" t="inlineStr">
        <x:is>
          <x:t xml:space="preserve">PDF 'Automation &amp; Schedulers' table (sendBatchNotification callable)</x:t>
        </x:is>
      </x:c>
    </x:row>
    <x:row r="16">
      <x:c r="A16" s="2" t="inlineStr">
        <x:is>
          <x:t xml:space="preserve">F-015</x:t>
        </x:is>
      </x:c>
      <x:c r="B16" s="2" t="inlineStr">
        <x:is>
          <x:t xml:space="preserve">Merchant compliance (5-offer threshold) enforced in UX/catalog</x:t>
        </x:is>
      </x:c>
      <x:c r="C16" s="2" t="inlineStr">
        <x:is>
          <x:t xml:space="preserve">Merchant Ops/Automation</x:t>
        </x:is>
      </x:c>
      <x:c r="D16" s="2" t="inlineStr">
        <x:is>
          <x:t xml:space="preserve">firebase-functions/src/phase3Scheduler.ts</x:t>
        </x:is>
      </x:c>
      <x:c r="E16" s="2" t="inlineStr">
        <x:is>
          <x:t xml:space="preserve">Partial</x:t>
        </x:is>
      </x:c>
      <x:c r="F16" s="3" t="n">
        <x:v>60</x:v>
      </x:c>
      <x:c r="G16" s="2" t="n"/>
      <x:c r="H16" s="2" t="n"/>
      <x:c r="I16" s="2" t="n"/>
      <x:c r="J16" s="2" t="inlineStr">
        <x:is>
          <x:t xml:space="preserve">No merchant-facing warning / gating</x:t>
        </x:is>
      </x:c>
      <x:c r="K16" s="2" t="inlineStr">
        <x:is>
          <x:t xml:space="preserve">Not Started</x:t>
        </x:is>
      </x:c>
      <x:c r="L16" s="3" t="n">
        <x:v>0</x:v>
      </x:c>
      <x:c r="M16" s="2" t="n"/>
      <x:c r="N16" s="2" t="n"/>
      <x:c r="O16" s="2" t="n"/>
      <x:c r="P16" s="2" t="inlineStr">
        <x:is>
          <x:t xml:space="preserve">enforceMerchantCompliance</x:t>
        </x:is>
      </x:c>
      <x:c r="Q16" s="2" t="inlineStr">
        <x:is>
          <x:t xml:space="preserve">merchants, offers</x:t>
        </x:is>
      </x:c>
      <x:c r="R16" s="2" t="inlineStr">
        <x:is>
          <x:t xml:space="preserve">Scheduler</x:t>
        </x:is>
      </x:c>
      <x:c r="S16" s="2" t="inlineStr">
        <x:is>
          <x:t xml:space="preserve">NO</x:t>
        </x:is>
      </x:c>
      <x:c r="T16" s="2" t="inlineStr">
        <x:is>
          <x:t xml:space="preserve">Infra</x:t>
        </x:is>
      </x:c>
      <x:c r="U16" s="2" t="inlineStr">
        <x:is>
          <x:t xml:space="preserve">Scheduler code exists, but Cloud Scheduler disabled → not proven executing end-to-end.</x:t>
        </x:is>
      </x:c>
      <x:c r="V16" s="2" t="inlineStr">
        <x:is>
          <x:t xml:space="preserve">P1</x:t>
        </x:is>
      </x:c>
      <x:c r="W16" s="3" t="n">
        <x:v>24</x:v>
      </x:c>
      <x:c r="X16" s="3" t="n">
        <x:v>11</x:v>
      </x:c>
      <x:c r="Y16" s="2" t="inlineStr">
        <x:is>
          <x:t xml:space="preserve">Partial per report.</x:t>
        </x:is>
      </x:c>
      <x:c r="Z16" s="8" t="n">
        <x:v>46030.15761975694</x:v>
      </x:c>
      <x:c r="AA16" s="2" t="inlineStr">
        <x:is>
          <x:t xml:space="preserve">ChatGPT</x:t>
        </x:is>
      </x:c>
      <x:c r="AB16" s="2" t="inlineStr">
        <x:is>
          <x:t xml:space="preserve">PDF SECTION 5 item 3 + SECTION 12 blocker 4 context</x:t>
        </x:is>
      </x:c>
    </x:row>
    <x:row r="17">
      <x:c r="A17" s="2" t="inlineStr">
        <x:is>
          <x:t xml:space="preserve">F-016</x:t>
        </x:is>
      </x:c>
      <x:c r="B17" s="2" t="inlineStr">
        <x:is>
          <x:t xml:space="preserve">Offer/subscription expiry reminders sent automatically</x:t>
        </x:is>
      </x:c>
      <x:c r="C17" s="2" t="inlineStr">
        <x:is>
          <x:t xml:space="preserve">Automation/Notifications</x:t>
        </x:is>
      </x:c>
      <x:c r="D17" s="2" t="inlineStr">
        <x:is>
          <x:t xml:space="preserve">firebase-functions/src/subscriptionAutomation.ts</x:t>
        </x:is>
      </x:c>
      <x:c r="E17" s="2" t="inlineStr">
        <x:is>
          <x:t xml:space="preserve">Partial</x:t>
        </x:is>
      </x:c>
      <x:c r="F17" s="3" t="n">
        <x:v>60</x:v>
      </x:c>
      <x:c r="G17" s="2" t="inlineStr">
        <x:is>
          <x:t xml:space="preserve">Receives notifications (FCM ready)</x:t>
        </x:is>
      </x:c>
      <x:c r="H17" s="2" t="inlineStr">
        <x:is>
          <x:t xml:space="preserve">Done</x:t>
        </x:is>
      </x:c>
      <x:c r="I17" s="3" t="n">
        <x:v>100</x:v>
      </x:c>
      <x:c r="J17" s="2" t="inlineStr">
        <x:is>
          <x:t xml:space="preserve">Receives notifications (FCM ready)</x:t>
        </x:is>
      </x:c>
      <x:c r="K17" s="2" t="inlineStr">
        <x:is>
          <x:t xml:space="preserve">Done</x:t>
        </x:is>
      </x:c>
      <x:c r="L17" s="3" t="n">
        <x:v>100</x:v>
      </x:c>
      <x:c r="M17" s="2" t="n"/>
      <x:c r="N17" s="2" t="n"/>
      <x:c r="O17" s="2" t="n"/>
      <x:c r="P17" s="2" t="inlineStr">
        <x:is>
          <x:t xml:space="preserve">sendExpiryReminders</x:t>
        </x:is>
      </x:c>
      <x:c r="Q17" s="2" t="inlineStr">
        <x:is>
          <x:t xml:space="preserve">subscriptions</x:t>
        </x:is>
      </x:c>
      <x:c r="R17" s="2" t="inlineStr">
        <x:is>
          <x:t xml:space="preserve">Cloud Scheduler + FCM</x:t>
        </x:is>
      </x:c>
      <x:c r="S17" s="2" t="inlineStr">
        <x:is>
          <x:t xml:space="preserve">NO</x:t>
        </x:is>
      </x:c>
      <x:c r="T17" s="2" t="inlineStr">
        <x:is>
          <x:t xml:space="preserve">Infra</x:t>
        </x:is>
      </x:c>
      <x:c r="U17" s="2" t="inlineStr">
        <x:is>
          <x:t xml:space="preserve">Scheduler code exists, but Cloud Scheduler disabled → not proven executing end-to-end.</x:t>
        </x:is>
      </x:c>
      <x:c r="V17" s="2" t="inlineStr">
        <x:is>
          <x:t xml:space="preserve">P1</x:t>
        </x:is>
      </x:c>
      <x:c r="W17" s="3" t="n">
        <x:v>16</x:v>
      </x:c>
      <x:c r="X17" s="3" t="n">
        <x:v>12</x:v>
      </x:c>
      <x:c r="Y17" s="2" t="inlineStr">
        <x:is>
          <x:t xml:space="preserve">Partial per report.</x:t>
        </x:is>
      </x:c>
      <x:c r="Z17" s="8" t="n">
        <x:v>46030.15761975694</x:v>
      </x:c>
      <x:c r="AA17" s="2" t="inlineStr">
        <x:is>
          <x:t xml:space="preserve">ChatGPT</x:t>
        </x:is>
      </x:c>
      <x:c r="AB17" s="2" t="inlineStr">
        <x:is>
          <x:t xml:space="preserve">PDF SECTION 5 item 4 + SECTION 12 blocker 4</x:t>
        </x:is>
      </x:c>
    </x:row>
    <x:row r="18">
      <x:c r="A18" s="2" t="inlineStr">
        <x:is>
          <x:t xml:space="preserve">F-017</x:t>
        </x:is>
      </x:c>
      <x:c r="B18" s="2" t="inlineStr">
        <x:is>
          <x:t xml:space="preserve">Web Admin moderation console (offers/merchants/users mutations)</x:t>
        </x:is>
      </x:c>
      <x:c r="C18" s="2" t="inlineStr">
        <x:is>
          <x:t xml:space="preserve">Web Admin</x:t>
        </x:is>
      </x:c>
      <x:c r="D18" s="2" t="inlineStr">
        <x:is>
          <x:t xml:space="preserve">firebase-functions/src/index.ts + Firestore</x:t>
        </x:is>
      </x:c>
      <x:c r="E18" s="2" t="inlineStr">
        <x:is>
          <x:t xml:space="preserve">Done</x:t>
        </x:is>
      </x:c>
      <x:c r="F18" s="3" t="n">
        <x:v>100</x:v>
      </x:c>
      <x:c r="G18" s="2" t="n"/>
      <x:c r="H18" s="2" t="n"/>
      <x:c r="I18" s="2" t="n"/>
      <x:c r="J18" s="2" t="n"/>
      <x:c r="K18" s="2" t="n"/>
      <x:c r="L18" s="2" t="n"/>
      <x:c r="M18" s="2" t="inlineStr">
        <x:is>
          <x:t xml:space="preserve">web-admin pages/admin/*</x:t>
        </x:is>
      </x:c>
      <x:c r="N18" s="2" t="inlineStr">
        <x:is>
          <x:t xml:space="preserve">Done</x:t>
        </x:is>
      </x:c>
      <x:c r="O18" s="3" t="n">
        <x:v>100</x:v>
      </x:c>
      <x:c r="P18" s="2" t="inlineStr">
        <x:is>
          <x:t xml:space="preserve">approveOffer/rejectOffer/setCustomClaims + updateDoc mutations</x:t>
        </x:is>
      </x:c>
      <x:c r="Q18" s="2" t="inlineStr">
        <x:is>
          <x:t xml:space="preserve">offers, merchants, users</x:t>
        </x:is>
      </x:c>
      <x:c r="R18" s="2" t="inlineStr">
        <x:is>
          <x:t xml:space="preserve">Firebase Auth claims</x:t>
        </x:is>
      </x:c>
      <x:c r="S18" s="2" t="inlineStr">
        <x:is>
          <x:t xml:space="preserve">YES</x:t>
        </x:is>
      </x:c>
      <x:c r="T18" s="2" t="inlineStr">
        <x:is>
          <x:t xml:space="preserve">None</x:t>
        </x:is>
      </x:c>
      <x:c r="U18" s="2" t="inlineStr">
        <x:is>
          <x:t xml:space="preserve"/>
        </x:is>
      </x:c>
      <x:c r="V18" s="2" t="inlineStr">
        <x:is>
          <x:t xml:space="preserve">P2</x:t>
        </x:is>
      </x:c>
      <x:c r="W18" s="3" t="n">
        <x:v>16</x:v>
      </x:c>
      <x:c r="X18" s="3" t="n">
        <x:v>29</x:v>
      </x:c>
      <x:c r="Y18" s="2" t="inlineStr">
        <x:is>
          <x:t xml:space="preserve">Confirmed MATCHED.</x:t>
        </x:is>
      </x:c>
      <x:c r="Z18" s="8" t="n">
        <x:v>46030.15761975694</x:v>
      </x:c>
      <x:c r="AA18" s="2" t="inlineStr">
        <x:is>
          <x:t xml:space="preserve">ChatGPT</x:t>
        </x:is>
      </x:c>
      <x:c r="AB18" s="2" t="inlineStr">
        <x:is>
          <x:t xml:space="preserve">PDF SECTION 7 'WEB ADMIN REALITY' + Web Admin Mutation Gate 16/16 PASSED</x:t>
        </x:is>
      </x:c>
    </x:row>
    <x:row r="19">
      <x:c r="A19" s="2" t="inlineStr">
        <x:is>
          <x:t xml:space="preserve">F-018</x:t>
        </x:is>
      </x:c>
      <x:c r="B19" s="2" t="inlineStr">
        <x:is>
          <x:t xml:space="preserve">Admin route guard (role=admin claim enforcement)</x:t>
        </x:is>
      </x:c>
      <x:c r="C19" s="2" t="inlineStr">
        <x:is>
          <x:t xml:space="preserve">Security/Web Admin</x:t>
        </x:is>
      </x:c>
      <x:c r="D19" s="2" t="inlineStr">
        <x:is>
          <x:t xml:space="preserve">apps/web-admin/components/AdminGuard.tsx</x:t>
        </x:is>
      </x:c>
      <x:c r="E19" s="2" t="inlineStr">
        <x:is>
          <x:t xml:space="preserve">Done</x:t>
        </x:is>
      </x:c>
      <x:c r="F19" s="3" t="n">
        <x:v>100</x:v>
      </x:c>
      <x:c r="G19" s="2" t="n"/>
      <x:c r="H19" s="2" t="n"/>
      <x:c r="I19" s="2" t="n"/>
      <x:c r="J19" s="2" t="n"/>
      <x:c r="K19" s="2" t="n"/>
      <x:c r="L19" s="2" t="n"/>
      <x:c r="M19" s="2" t="inlineStr">
        <x:is>
          <x:t xml:space="preserve">AdminGuard.tsx</x:t>
        </x:is>
      </x:c>
      <x:c r="N19" s="2" t="inlineStr">
        <x:is>
          <x:t xml:space="preserve">Done</x:t>
        </x:is>
      </x:c>
      <x:c r="O19" s="3" t="n">
        <x:v>100</x:v>
      </x:c>
      <x:c r="P19" s="2" t="inlineStr">
        <x:is>
          <x:t xml:space="preserve">N/A</x:t>
        </x:is>
      </x:c>
      <x:c r="Q19" s="2" t="inlineStr">
        <x:is>
          <x:t xml:space="preserve">users, claims</x:t>
        </x:is>
      </x:c>
      <x:c r="R19" s="2" t="inlineStr">
        <x:is>
          <x:t xml:space="preserve">Firebase Auth</x:t>
        </x:is>
      </x:c>
      <x:c r="S19" s="2" t="inlineStr">
        <x:is>
          <x:t xml:space="preserve">YES</x:t>
        </x:is>
      </x:c>
      <x:c r="T19" s="2" t="inlineStr">
        <x:is>
          <x:t xml:space="preserve">None</x:t>
        </x:is>
      </x:c>
      <x:c r="U19" s="2" t="inlineStr">
        <x:is>
          <x:t xml:space="preserve"/>
        </x:is>
      </x:c>
      <x:c r="V19" s="2" t="inlineStr">
        <x:is>
          <x:t xml:space="preserve">P2</x:t>
        </x:is>
      </x:c>
      <x:c r="W19" s="3" t="n">
        <x:v>4</x:v>
      </x:c>
      <x:c r="X19" s="3" t="n">
        <x:v>30</x:v>
      </x:c>
      <x:c r="Y19" s="2" t="inlineStr">
        <x:is>
          <x:t xml:space="preserve">Working.</x:t>
        </x:is>
      </x:c>
      <x:c r="Z19" s="8" t="n">
        <x:v>46030.15761975694</x:v>
      </x:c>
      <x:c r="AA19" s="2" t="inlineStr">
        <x:is>
          <x:t xml:space="preserve">ChatGPT</x:t>
        </x:is>
      </x:c>
      <x:c r="AB19" s="2" t="inlineStr">
        <x:is>
          <x:t xml:space="preserve">PDF SECTION 7 'Admin Guard' enforced</x:t>
        </x:is>
      </x:c>
    </x:row>
    <x:row r="20">
      <x:c r="A20" s="2" t="inlineStr">
        <x:is>
          <x:t xml:space="preserve">F-019</x:t>
        </x:is>
      </x:c>
      <x:c r="B20" s="2" t="inlineStr">
        <x:is>
          <x:t xml:space="preserve">Admin view redemptions history (screen + queries)</x:t>
        </x:is>
      </x:c>
      <x:c r="C20" s="2" t="inlineStr">
        <x:is>
          <x:t xml:space="preserve">Web Admin/Analytics</x:t>
        </x:is>
      </x:c>
      <x:c r="D20" s="2" t="inlineStr">
        <x:is>
          <x:t xml:space="preserve">N/A</x:t>
        </x:is>
      </x:c>
      <x:c r="E20" s="2" t="inlineStr">
        <x:is>
          <x:t xml:space="preserve">Not Started</x:t>
        </x:is>
      </x:c>
      <x:c r="F20" s="3" t="n">
        <x:v>0</x:v>
      </x:c>
      <x:c r="G20" s="2" t="n"/>
      <x:c r="H20" s="2" t="n"/>
      <x:c r="I20" s="2" t="n"/>
      <x:c r="J20" s="2" t="n"/>
      <x:c r="K20" s="2" t="n"/>
      <x:c r="L20" s="2" t="n"/>
      <x:c r="M20" s="2" t="inlineStr">
        <x:is>
          <x:t xml:space="preserve">pages/admin/* missing screen</x:t>
        </x:is>
      </x:c>
      <x:c r="N20" s="2" t="inlineStr">
        <x:is>
          <x:t xml:space="preserve">Not Started</x:t>
        </x:is>
      </x:c>
      <x:c r="O20" s="3" t="n">
        <x:v>0</x:v>
      </x:c>
      <x:c r="P20" s="2" t="inlineStr">
        <x:is>
          <x:t xml:space="preserve">N/A</x:t>
        </x:is>
      </x:c>
      <x:c r="Q20" s="2" t="inlineStr">
        <x:is>
          <x:t xml:space="preserve">redemptions</x:t>
        </x:is>
      </x:c>
      <x:c r="R20" s="2" t="inlineStr">
        <x:is>
          <x:t xml:space="preserve">Firestore</x:t>
        </x:is>
      </x:c>
      <x:c r="S20" s="2" t="inlineStr">
        <x:is>
          <x:t xml:space="preserve">NO</x:t>
        </x:is>
      </x:c>
      <x:c r="T20" s="2" t="inlineStr">
        <x:is>
          <x:t xml:space="preserve">Tech</x:t>
        </x:is>
      </x:c>
      <x:c r="U20" s="2" t="inlineStr">
        <x:is>
          <x:t xml:space="preserve">No evidence in PDF of working UI/queries or backend support for this feature.</x:t>
        </x:is>
      </x:c>
      <x:c r="V20" s="2" t="inlineStr">
        <x:is>
          <x:t xml:space="preserve">P2</x:t>
        </x:is>
      </x:c>
      <x:c r="W20" s="3" t="n">
        <x:v>24</x:v>
      </x:c>
      <x:c r="X20" s="3" t="n">
        <x:v>31</x:v>
      </x:c>
      <x:c r="Y20" s="2" t="inlineStr">
        <x:is>
          <x:t xml:space="preserve">Not required for launch but useful.</x:t>
        </x:is>
      </x:c>
      <x:c r="Z20" s="8" t="n">
        <x:v>46030.15761975694</x:v>
      </x:c>
      <x:c r="AA20" s="2" t="inlineStr">
        <x:is>
          <x:t xml:space="preserve">ChatGPT</x:t>
        </x:is>
      </x:c>
      <x:c r="AB20" s="2" t="inlineStr">
        <x:is>
          <x:t xml:space="preserve">PDF does not provide runtime/evidence for admin redemptions history screen</x:t>
        </x:is>
      </x:c>
    </x:row>
    <x:row r="21">
      <x:c r="A21" s="2" t="inlineStr">
        <x:is>
          <x:t xml:space="preserve">F-020</x:t>
        </x:is>
      </x:c>
      <x:c r="B21" s="2" t="inlineStr">
        <x:is>
          <x:t xml:space="preserve">Admin adjust/refund points (UI + backend function)</x:t>
        </x:is>
      </x:c>
      <x:c r="C21" s="2" t="inlineStr">
        <x:is>
          <x:t xml:space="preserve">Web Admin/Points</x:t>
        </x:is>
      </x:c>
      <x:c r="D21" s="2" t="inlineStr">
        <x:is>
          <x:t xml:space="preserve">N/A</x:t>
        </x:is>
      </x:c>
      <x:c r="E21" s="2" t="inlineStr">
        <x:is>
          <x:t xml:space="preserve">Not Started</x:t>
        </x:is>
      </x:c>
      <x:c r="F21" s="3" t="n">
        <x:v>0</x:v>
      </x:c>
      <x:c r="G21" s="2" t="n"/>
      <x:c r="H21" s="2" t="n"/>
      <x:c r="I21" s="2" t="n"/>
      <x:c r="J21" s="2" t="n"/>
      <x:c r="K21" s="2" t="n"/>
      <x:c r="L21" s="2" t="n"/>
      <x:c r="M21" s="2" t="inlineStr">
        <x:is>
          <x:t xml:space="preserve">No UI / no backend function</x:t>
        </x:is>
      </x:c>
      <x:c r="N21" s="2" t="inlineStr">
        <x:is>
          <x:t xml:space="preserve">Not Started</x:t>
        </x:is>
      </x:c>
      <x:c r="O21" s="3" t="n">
        <x:v>0</x:v>
      </x:c>
      <x:c r="P21" s="2" t="inlineStr">
        <x:is>
          <x:t xml:space="preserve">N/A</x:t>
        </x:is>
      </x:c>
      <x:c r="Q21" s="2" t="inlineStr">
        <x:is>
          <x:t xml:space="preserve">points_ledger, users</x:t>
        </x:is>
      </x:c>
      <x:c r="R21" s="2" t="inlineStr">
        <x:is>
          <x:t xml:space="preserve">Firestore</x:t>
        </x:is>
      </x:c>
      <x:c r="S21" s="2" t="inlineStr">
        <x:is>
          <x:t xml:space="preserve">NO</x:t>
        </x:is>
      </x:c>
      <x:c r="T21" s="2" t="inlineStr">
        <x:is>
          <x:t xml:space="preserve">Tech</x:t>
        </x:is>
      </x:c>
      <x:c r="U21" s="2" t="inlineStr">
        <x:is>
          <x:t xml:space="preserve">No evidence in PDF of working UI/queries or backend support for this feature.</x:t>
        </x:is>
      </x:c>
      <x:c r="V21" s="2" t="inlineStr">
        <x:is>
          <x:t xml:space="preserve">P2</x:t>
        </x:is>
      </x:c>
      <x:c r="W21" s="3" t="n">
        <x:v>32</x:v>
      </x:c>
      <x:c r="X21" s="3" t="n">
        <x:v>32</x:v>
      </x:c>
      <x:c r="Y21" s="2" t="inlineStr">
        <x:is>
          <x:t xml:space="preserve">Post-launch feature.</x:t>
        </x:is>
      </x:c>
      <x:c r="Z21" s="8" t="n">
        <x:v>46030.15761975694</x:v>
      </x:c>
      <x:c r="AA21" s="2" t="inlineStr">
        <x:is>
          <x:t xml:space="preserve">ChatGPT</x:t>
        </x:is>
      </x:c>
      <x:c r="AB21" s="2" t="inlineStr">
        <x:is>
          <x:t xml:space="preserve">PDF does not provide evidence for points adjust/refund feature</x:t>
        </x:is>
      </x:c>
    </x:row>
    <x:row r="22">
      <x:c r="A22" s="2" t="inlineStr">
        <x:is>
          <x:t xml:space="preserve">F-021</x:t>
        </x:is>
      </x:c>
      <x:c r="B22" s="2" t="inlineStr">
        <x:is>
          <x:t xml:space="preserve">Phone/OTP authentication end-to-end</x:t>
        </x:is>
      </x:c>
      <x:c r="C22" s="2" t="inlineStr">
        <x:is>
          <x:t xml:space="preserve">Auth</x:t>
        </x:is>
      </x:c>
      <x:c r="D22" s="2" t="inlineStr">
        <x:is>
          <x:t xml:space="preserve">firebase-functions/src/sms.ts</x:t>
        </x:is>
      </x:c>
      <x:c r="E22" s="2" t="inlineStr">
        <x:is>
          <x:t xml:space="preserve">Partial</x:t>
        </x:is>
      </x:c>
      <x:c r="F22" s="3" t="n">
        <x:v>20</x:v>
      </x:c>
      <x:c r="G22" s="2" t="inlineStr">
        <x:is>
          <x:t xml:space="preserve">Apps use email/password + Google only</x:t>
        </x:is>
      </x:c>
      <x:c r="H22" s="2" t="inlineStr">
        <x:is>
          <x:t xml:space="preserve">Not Started</x:t>
        </x:is>
      </x:c>
      <x:c r="I22" s="3" t="n">
        <x:v>0</x:v>
      </x:c>
      <x:c r="J22" s="2" t="inlineStr">
        <x:is>
          <x:t xml:space="preserve">Apps use email/password + Google only</x:t>
        </x:is>
      </x:c>
      <x:c r="K22" s="2" t="inlineStr">
        <x:is>
          <x:t xml:space="preserve">Not Started</x:t>
        </x:is>
      </x:c>
      <x:c r="L22" s="3" t="n">
        <x:v>0</x:v>
      </x:c>
      <x:c r="M22" s="2" t="n"/>
      <x:c r="N22" s="2" t="n"/>
      <x:c r="O22" s="2" t="n"/>
      <x:c r="P22" s="2" t="inlineStr">
        <x:is>
          <x:t xml:space="preserve">sendSMS / verifyOTP</x:t>
        </x:is>
      </x:c>
      <x:c r="Q22" s="2" t="inlineStr">
        <x:is>
          <x:t xml:space="preserve">users, otp</x:t>
        </x:is>
      </x:c>
      <x:c r="R22" s="2" t="inlineStr">
        <x:is>
          <x:t xml:space="preserve">Lebanese SMS gateway</x:t>
        </x:is>
      </x:c>
      <x:c r="S22" s="2" t="inlineStr">
        <x:is>
          <x:t xml:space="preserve">NO</x:t>
        </x:is>
      </x:c>
      <x:c r="T22" s="2" t="inlineStr">
        <x:is>
          <x:t xml:space="preserve">Tech</x:t>
        </x:is>
      </x:c>
      <x:c r="U22" s="2" t="inlineStr">
        <x:is>
          <x:t xml:space="preserve">SMS functions exist but not wired; apps use email/Google only.</x:t>
        </x:is>
      </x:c>
      <x:c r="V22" s="2" t="inlineStr">
        <x:is>
          <x:t xml:space="preserve">P0</x:t>
        </x:is>
      </x:c>
      <x:c r="W22" s="3" t="n">
        <x:v>24</x:v>
      </x:c>
      <x:c r="X22" s="3" t="n">
        <x:v>8</x:v>
      </x:c>
      <x:c r="Y22" s="2" t="inlineStr">
        <x:is>
          <x:t xml:space="preserve">Hard blocker #5 + missing gateway.</x:t>
        </x:is>
      </x:c>
      <x:c r="Z22" s="8" t="n">
        <x:v>46030.15761975694</x:v>
      </x:c>
      <x:c r="AA22" s="2" t="inlineStr">
        <x:is>
          <x:t xml:space="preserve">ChatGPT</x:t>
        </x:is>
      </x:c>
      <x:c r="AB22" s="2" t="inlineStr">
        <x:is>
          <x:t xml:space="preserve">PDF SECTION 5 item 6 + Parity gap table</x:t>
        </x:is>
      </x:c>
    </x:row>
    <x:row r="23">
      <x:c r="A23" s="2" t="inlineStr">
        <x:is>
          <x:t xml:space="preserve">F-022</x:t>
        </x:is>
      </x:c>
      <x:c r="B23" s="2" t="inlineStr">
        <x:is>
          <x:t xml:space="preserve">Lebanese SMS gateway integration (Alfa/Touch/Ogero)</x:t>
        </x:is>
      </x:c>
      <x:c r="C23" s="2" t="inlineStr">
        <x:is>
          <x:t xml:space="preserve">Infra/Auth</x:t>
        </x:is>
      </x:c>
      <x:c r="D23" s="2" t="inlineStr">
        <x:is>
          <x:t xml:space="preserve">N/A</x:t>
        </x:is>
      </x:c>
      <x:c r="E23" s="2" t="inlineStr">
        <x:is>
          <x:t xml:space="preserve">Not Started</x:t>
        </x:is>
      </x:c>
      <x:c r="F23" s="3" t="n">
        <x:v>0</x:v>
      </x:c>
      <x:c r="G23" s="2" t="n"/>
      <x:c r="H23" s="2" t="n"/>
      <x:c r="I23" s="2" t="n"/>
      <x:c r="J23" s="2" t="n"/>
      <x:c r="K23" s="2" t="n"/>
      <x:c r="L23" s="2" t="n"/>
      <x:c r="M23" s="2" t="n"/>
      <x:c r="N23" s="2" t="n"/>
      <x:c r="O23" s="2" t="n"/>
      <x:c r="P23" s="2" t="inlineStr">
        <x:is>
          <x:t xml:space="preserve">N/A</x:t>
        </x:is>
      </x:c>
      <x:c r="Q23" s="2" t="inlineStr">
        <x:is>
          <x:t xml:space="preserve">sms_logs</x:t>
        </x:is>
      </x:c>
      <x:c r="R23" s="2" t="inlineStr">
        <x:is>
          <x:t xml:space="preserve">SMS provider</x:t>
        </x:is>
      </x:c>
      <x:c r="S23" s="2" t="inlineStr">
        <x:is>
          <x:t xml:space="preserve">NO</x:t>
        </x:is>
      </x:c>
      <x:c r="T23" s="2" t="inlineStr">
        <x:is>
          <x:t xml:space="preserve">Infra</x:t>
        </x:is>
      </x:c>
      <x:c r="U23" s="2" t="inlineStr">
        <x:is>
          <x:t xml:space="preserve">No Lebanese gateway integration (Ogero/Alfa/Touch); only generic SMS skeleton.</x:t>
        </x:is>
      </x:c>
      <x:c r="V23" s="2" t="inlineStr">
        <x:is>
          <x:t xml:space="preserve">P2</x:t>
        </x:is>
      </x:c>
      <x:c r="W23" s="3" t="n">
        <x:v>80</x:v>
      </x:c>
      <x:c r="X23" s="3" t="n">
        <x:v>33</x:v>
      </x:c>
      <x:c r="Y23" s="2" t="inlineStr">
        <x:is>
          <x:t xml:space="preserve">Listed as missing.</x:t>
        </x:is>
      </x:c>
      <x:c r="Z23" s="8" t="n">
        <x:v>46030.15761975694</x:v>
      </x:c>
      <x:c r="AA23" s="2" t="inlineStr">
        <x:is>
          <x:t xml:space="preserve">ChatGPT</x:t>
        </x:is>
      </x:c>
      <x:c r="AB23" s="2" t="inlineStr">
        <x:is>
          <x:t xml:space="preserve">PDF SECTION 6 item 1 + Parity gap table</x:t>
        </x:is>
      </x:c>
    </x:row>
    <x:row r="24">
      <x:c r="A24" s="2" t="inlineStr">
        <x:is>
          <x:t xml:space="preserve">F-023</x:t>
        </x:is>
      </x:c>
      <x:c r="B24" s="2" t="inlineStr">
        <x:is>
          <x:t xml:space="preserve">Arabic + English i18n across apps and web</x:t>
        </x:is>
      </x:c>
      <x:c r="C24" s="2" t="inlineStr">
        <x:is>
          <x:t xml:space="preserve">Localization</x:t>
        </x:is>
      </x:c>
      <x:c r="D24" s="2" t="inlineStr">
        <x:is>
          <x:t xml:space="preserve">N/A</x:t>
        </x:is>
      </x:c>
      <x:c r="E24" s="2" t="inlineStr">
        <x:is>
          <x:t xml:space="preserve">Not Started</x:t>
        </x:is>
      </x:c>
      <x:c r="F24" s="3" t="n">
        <x:v>0</x:v>
      </x:c>
      <x:c r="G24" s="2" t="inlineStr">
        <x:is>
          <x:t xml:space="preserve">No localization package/framework</x:t>
        </x:is>
      </x:c>
      <x:c r="H24" s="2" t="inlineStr">
        <x:is>
          <x:t xml:space="preserve">Not Started</x:t>
        </x:is>
      </x:c>
      <x:c r="I24" s="3" t="n">
        <x:v>0</x:v>
      </x:c>
      <x:c r="J24" s="2" t="inlineStr">
        <x:is>
          <x:t xml:space="preserve">No localization package/framework</x:t>
        </x:is>
      </x:c>
      <x:c r="K24" s="2" t="inlineStr">
        <x:is>
          <x:t xml:space="preserve">Not Started</x:t>
        </x:is>
      </x:c>
      <x:c r="L24" s="3" t="n">
        <x:v>0</x:v>
      </x:c>
      <x:c r="M24" s="2" t="inlineStr">
        <x:is>
          <x:t xml:space="preserve">English-only</x:t>
        </x:is>
      </x:c>
      <x:c r="N24" s="2" t="inlineStr">
        <x:is>
          <x:t xml:space="preserve">Not Started</x:t>
        </x:is>
      </x:c>
      <x:c r="O24" s="3" t="n">
        <x:v>0</x:v>
      </x:c>
      <x:c r="P24" s="2" t="inlineStr">
        <x:is>
          <x:t xml:space="preserve">N/A</x:t>
        </x:is>
      </x:c>
      <x:c r="Q24" s="2" t="inlineStr">
        <x:is>
          <x:t xml:space="preserve">ui_strings</x:t>
        </x:is>
      </x:c>
      <x:c r="R24" s="2" t="inlineStr">
        <x:is>
          <x:t xml:space="preserve">i18n libs</x:t>
        </x:is>
      </x:c>
      <x:c r="S24" s="2" t="inlineStr">
        <x:is>
          <x:t xml:space="preserve">NO</x:t>
        </x:is>
      </x:c>
      <x:c r="T24" s="2" t="inlineStr">
        <x:is>
          <x:t xml:space="preserve">Business</x:t>
        </x:is>
      </x:c>
      <x:c r="U24" s="2" t="inlineStr">
        <x:is>
          <x:t xml:space="preserve">No localization/i18n framework detected; English-only.</x:t>
        </x:is>
      </x:c>
      <x:c r="V24" s="2" t="inlineStr">
        <x:is>
          <x:t xml:space="preserve">P1</x:t>
        </x:is>
      </x:c>
      <x:c r="W24" s="3" t="n">
        <x:v>80</x:v>
      </x:c>
      <x:c r="X24" s="3" t="n">
        <x:v>13</x:v>
      </x:c>
      <x:c r="Y24" s="2" t="inlineStr">
        <x:is>
          <x:t xml:space="preserve">High-impact before Lebanon launch.</x:t>
        </x:is>
      </x:c>
      <x:c r="Z24" s="8" t="n">
        <x:v>46030.15761975694</x:v>
      </x:c>
      <x:c r="AA24" s="2" t="inlineStr">
        <x:is>
          <x:t xml:space="preserve">ChatGPT</x:t>
        </x:is>
      </x:c>
      <x:c r="AB24" s="2" t="inlineStr">
        <x:is>
          <x:t xml:space="preserve">PDF SECTION 5 item 7 + High-impact blockers</x:t>
        </x:is>
      </x:c>
    </x:row>
    <x:row r="25">
      <x:c r="A25" s="2" t="inlineStr">
        <x:is>
          <x:t xml:space="preserve">F-024</x:t>
        </x:is>
      </x:c>
      <x:c r="B25" s="2" t="inlineStr">
        <x:is>
          <x:t xml:space="preserve">Merchant offer type selection UI (B1G1/Percent/Fixed)</x:t>
        </x:is>
      </x:c>
      <x:c r="C25" s="2" t="inlineStr">
        <x:is>
          <x:t xml:space="preserve">Merchant UX</x:t>
        </x:is>
      </x:c>
      <x:c r="D25" s="2" t="inlineStr">
        <x:is>
          <x:t xml:space="preserve">Backend supports offer types</x:t>
        </x:is>
      </x:c>
      <x:c r="E25" s="2" t="inlineStr">
        <x:is>
          <x:t xml:space="preserve">Done</x:t>
        </x:is>
      </x:c>
      <x:c r="F25" s="3" t="n">
        <x:v>100</x:v>
      </x:c>
      <x:c r="G25" s="2" t="n"/>
      <x:c r="H25" s="2" t="n"/>
      <x:c r="I25" s="2" t="n"/>
      <x:c r="J25" s="2" t="inlineStr">
        <x:is>
          <x:t xml:space="preserve">Create offer screen missing dropdown</x:t>
        </x:is>
      </x:c>
      <x:c r="K25" s="2" t="inlineStr">
        <x:is>
          <x:t xml:space="preserve">Not Started</x:t>
        </x:is>
      </x:c>
      <x:c r="L25" s="3" t="n">
        <x:v>0</x:v>
      </x:c>
      <x:c r="M25" s="2" t="n"/>
      <x:c r="N25" s="2" t="n"/>
      <x:c r="O25" s="2" t="n"/>
      <x:c r="P25" s="2" t="inlineStr">
        <x:is>
          <x:t xml:space="preserve">createOffer</x:t>
        </x:is>
      </x:c>
      <x:c r="Q25" s="2" t="inlineStr">
        <x:is>
          <x:t xml:space="preserve">offers</x:t>
        </x:is>
      </x:c>
      <x:c r="R25" s="2" t="inlineStr">
        <x:is>
          <x:t xml:space="preserve">N/A</x:t>
        </x:is>
      </x:c>
      <x:c r="S25" s="2" t="inlineStr">
        <x:is>
          <x:t xml:space="preserve">NO</x:t>
        </x:is>
      </x:c>
      <x:c r="T25" s="2" t="inlineStr">
        <x:is>
          <x:t xml:space="preserve">Tech</x:t>
        </x:is>
      </x:c>
      <x:c r="U25" s="2" t="inlineStr">
        <x:is>
          <x:t xml:space="preserve">Backend supports offer types, but merchant UI lacks selection dropdown.</x:t>
        </x:is>
      </x:c>
      <x:c r="V25" s="2" t="inlineStr">
        <x:is>
          <x:t xml:space="preserve">P2</x:t>
        </x:is>
      </x:c>
      <x:c r="W25" s="3" t="n">
        <x:v>16</x:v>
      </x:c>
      <x:c r="X25" s="3" t="n">
        <x:v>34</x:v>
      </x:c>
      <x:c r="Y25" s="2" t="inlineStr">
        <x:is>
          <x:t xml:space="preserve">Partial per report.</x:t>
        </x:is>
      </x:c>
      <x:c r="Z25" s="8" t="n">
        <x:v>46030.15761975694</x:v>
      </x:c>
      <x:c r="AA25" s="2" t="inlineStr">
        <x:is>
          <x:t xml:space="preserve">ChatGPT</x:t>
        </x:is>
      </x:c>
      <x:c r="AB25" s="2" t="inlineStr">
        <x:is>
          <x:t xml:space="preserve">PDF SECTION 5 item 8</x:t>
        </x:is>
      </x:c>
    </x:row>
    <x:row r="26">
      <x:c r="A26" s="2" t="inlineStr">
        <x:is>
          <x:t xml:space="preserve">F-025</x:t>
        </x:is>
      </x:c>
      <x:c r="B26" s="2" t="inlineStr">
        <x:is>
          <x:t xml:space="preserve">Merchant analytics dashboard (trends, deeper metrics)</x:t>
        </x:is>
      </x:c>
      <x:c r="C26" s="2" t="inlineStr">
        <x:is>
          <x:t xml:space="preserve">Merchant Analytics</x:t>
        </x:is>
      </x:c>
      <x:c r="D26" s="2" t="inlineStr">
        <x:is>
          <x:t xml:space="preserve">N/A</x:t>
        </x:is>
      </x:c>
      <x:c r="E26" s="2" t="inlineStr">
        <x:is>
          <x:t xml:space="preserve">Partial</x:t>
        </x:is>
      </x:c>
      <x:c r="F26" s="3" t="n">
        <x:v>30</x:v>
      </x:c>
      <x:c r="G26" s="2" t="n"/>
      <x:c r="H26" s="2" t="n"/>
      <x:c r="I26" s="2" t="n"/>
      <x:c r="J26" s="2" t="inlineStr">
        <x:is>
          <x:t xml:space="preserve">Basic metrics only</x:t>
        </x:is>
      </x:c>
      <x:c r="K26" s="2" t="inlineStr">
        <x:is>
          <x:t xml:space="preserve">Partial</x:t>
        </x:is>
      </x:c>
      <x:c r="L26" s="3" t="n">
        <x:v>30</x:v>
      </x:c>
      <x:c r="M26" s="2" t="n"/>
      <x:c r="N26" s="2" t="n"/>
      <x:c r="O26" s="2" t="n"/>
      <x:c r="P26" s="2" t="inlineStr">
        <x:is>
          <x:t xml:space="preserve">N/A</x:t>
        </x:is>
      </x:c>
      <x:c r="Q26" s="2" t="inlineStr">
        <x:is>
          <x:t xml:space="preserve">offers, redemptions</x:t>
        </x:is>
      </x:c>
      <x:c r="R26" s="2" t="inlineStr">
        <x:is>
          <x:t xml:space="preserve">Firestore</x:t>
        </x:is>
      </x:c>
      <x:c r="S26" s="2" t="inlineStr">
        <x:is>
          <x:t xml:space="preserve">NO</x:t>
        </x:is>
      </x:c>
      <x:c r="T26" s="2" t="inlineStr">
        <x:is>
          <x:t xml:space="preserve">Business</x:t>
        </x:is>
      </x:c>
      <x:c r="U26" s="2" t="inlineStr">
        <x:is>
          <x:t xml:space="preserve">Only basic metrics; no trends/cohorts.</x:t>
        </x:is>
      </x:c>
      <x:c r="V26" s="2" t="inlineStr">
        <x:is>
          <x:t xml:space="preserve">P2</x:t>
        </x:is>
      </x:c>
      <x:c r="W26" s="3" t="n">
        <x:v>40</x:v>
      </x:c>
      <x:c r="X26" s="3" t="n">
        <x:v>35</x:v>
      </x:c>
      <x:c r="Y26" s="2" t="inlineStr">
        <x:is>
          <x:t xml:space="preserve">Not hard blocker.</x:t>
        </x:is>
      </x:c>
      <x:c r="Z26" s="8" t="n">
        <x:v>46030.15761975694</x:v>
      </x:c>
      <x:c r="AA26" s="2" t="inlineStr">
        <x:is>
          <x:t xml:space="preserve">ChatGPT</x:t>
        </x:is>
      </x:c>
      <x:c r="AB26" s="2" t="inlineStr">
        <x:is>
          <x:t xml:space="preserve">PDF SECTION 6 item 13 + Mobile Merchant capability table</x:t>
        </x:is>
      </x:c>
    </x:row>
    <x:row r="27">
      <x:c r="A27" s="2" t="inlineStr">
        <x:is>
          <x:t xml:space="preserve">F-026</x:t>
        </x:is>
      </x:c>
      <x:c r="B27" s="2" t="inlineStr">
        <x:is>
          <x:t xml:space="preserve">Merchant manage multiple branches (UI + switching)</x:t>
        </x:is>
      </x:c>
      <x:c r="C27" s="2" t="inlineStr">
        <x:is>
          <x:t xml:space="preserve">Merchant UX</x:t>
        </x:is>
      </x:c>
      <x:c r="D27" s="2" t="inlineStr">
        <x:is>
          <x:t xml:space="preserve">Schema supports branches</x:t>
        </x:is>
      </x:c>
      <x:c r="E27" s="2" t="inlineStr">
        <x:is>
          <x:t xml:space="preserve">Partial</x:t>
        </x:is>
      </x:c>
      <x:c r="F27" s="3" t="n">
        <x:v>50</x:v>
      </x:c>
      <x:c r="G27" s="2" t="n"/>
      <x:c r="H27" s="2" t="n"/>
      <x:c r="I27" s="2" t="n"/>
      <x:c r="J27" s="2" t="inlineStr">
        <x:is>
          <x:t xml:space="preserve">No UI for branch switching</x:t>
        </x:is>
      </x:c>
      <x:c r="K27" s="2" t="inlineStr">
        <x:is>
          <x:t xml:space="preserve">Partial</x:t>
        </x:is>
      </x:c>
      <x:c r="L27" s="3" t="n">
        <x:v>10</x:v>
      </x:c>
      <x:c r="M27" s="2" t="n"/>
      <x:c r="N27" s="2" t="n"/>
      <x:c r="O27" s="2" t="n"/>
      <x:c r="P27" s="2" t="inlineStr">
        <x:is>
          <x:t xml:space="preserve">N/A</x:t>
        </x:is>
      </x:c>
      <x:c r="Q27" s="2" t="inlineStr">
        <x:is>
          <x:t xml:space="preserve">merchants, branches</x:t>
        </x:is>
      </x:c>
      <x:c r="R27" s="2" t="inlineStr">
        <x:is>
          <x:t xml:space="preserve">Firestore</x:t>
        </x:is>
      </x:c>
      <x:c r="S27" s="2" t="inlineStr">
        <x:is>
          <x:t xml:space="preserve">NO</x:t>
        </x:is>
      </x:c>
      <x:c r="T27" s="2" t="inlineStr">
        <x:is>
          <x:t xml:space="preserve">Business</x:t>
        </x:is>
      </x:c>
      <x:c r="U27" s="2" t="inlineStr">
        <x:is>
          <x:t xml:space="preserve">Schema supports branches but no UI for switching/management.</x:t>
        </x:is>
      </x:c>
      <x:c r="V27" s="2" t="inlineStr">
        <x:is>
          <x:t xml:space="preserve">P2</x:t>
        </x:is>
      </x:c>
      <x:c r="W27" s="3" t="n">
        <x:v>24</x:v>
      </x:c>
      <x:c r="X27" s="3" t="n">
        <x:v>36</x:v>
      </x:c>
      <x:c r="Y27" s="2" t="inlineStr">
        <x:is>
          <x:t xml:space="preserve">Optional.</x:t>
        </x:is>
      </x:c>
      <x:c r="Z27" s="8" t="n">
        <x:v>46030.15761975694</x:v>
      </x:c>
      <x:c r="AA27" s="2" t="inlineStr">
        <x:is>
          <x:t xml:space="preserve">ChatGPT</x:t>
        </x:is>
      </x:c>
      <x:c r="AB27" s="2" t="inlineStr">
        <x:is>
          <x:t xml:space="preserve">PDF Mobile Merchant capability table (branches partial) + SECTION 6 item 14 context</x:t>
        </x:is>
      </x:c>
    </x:row>
    <x:row r="28">
      <x:c r="A28" s="2" t="inlineStr">
        <x:is>
          <x:t xml:space="preserve">F-027</x:t>
        </x:is>
      </x:c>
      <x:c r="B28" s="2" t="inlineStr">
        <x:is>
          <x:t xml:space="preserve">iOS build signing + provisioning for App Store</x:t>
        </x:is>
      </x:c>
      <x:c r="C28" s="2" t="inlineStr">
        <x:is>
          <x:t xml:space="preserve">Deployment</x:t>
        </x:is>
      </x:c>
      <x:c r="D28" s="2" t="inlineStr">
        <x:is>
          <x:t xml:space="preserve">N/A</x:t>
        </x:is>
      </x:c>
      <x:c r="E28" s="2" t="inlineStr">
        <x:is>
          <x:t xml:space="preserve">Not Started</x:t>
        </x:is>
      </x:c>
      <x:c r="F28" s="3" t="n">
        <x:v>0</x:v>
      </x:c>
      <x:c r="G28" s="2" t="inlineStr">
        <x:is>
          <x:t xml:space="preserve">iOS signing missing</x:t>
        </x:is>
      </x:c>
      <x:c r="H28" s="2" t="inlineStr">
        <x:is>
          <x:t xml:space="preserve">Not Started</x:t>
        </x:is>
      </x:c>
      <x:c r="I28" s="3" t="n">
        <x:v>0</x:v>
      </x:c>
      <x:c r="J28" s="2" t="inlineStr">
        <x:is>
          <x:t xml:space="preserve">iOS signing missing</x:t>
        </x:is>
      </x:c>
      <x:c r="K28" s="2" t="inlineStr">
        <x:is>
          <x:t xml:space="preserve">Not Started</x:t>
        </x:is>
      </x:c>
      <x:c r="L28" s="3" t="n">
        <x:v>0</x:v>
      </x:c>
      <x:c r="M28" s="2" t="n"/>
      <x:c r="N28" s="2" t="n"/>
      <x:c r="O28" s="2" t="n"/>
      <x:c r="P28" s="2" t="inlineStr">
        <x:is>
          <x:t xml:space="preserve">N/A</x:t>
        </x:is>
      </x:c>
      <x:c r="Q28" s="2" t="inlineStr">
        <x:is>
          <x:t xml:space="preserve">N/A</x:t>
        </x:is>
      </x:c>
      <x:c r="R28" s="2" t="inlineStr">
        <x:is>
          <x:t xml:space="preserve">Apple Developer</x:t>
        </x:is>
      </x:c>
      <x:c r="S28" s="2" t="inlineStr">
        <x:is>
          <x:t xml:space="preserve">NO</x:t>
        </x:is>
      </x:c>
      <x:c r="T28" s="2" t="inlineStr">
        <x:is>
          <x:t xml:space="preserve">Infra</x:t>
        </x:is>
      </x:c>
      <x:c r="U28" s="2" t="inlineStr">
        <x:is>
          <x:t xml:space="preserve">iOS signing missing; no Xcode config in ios/ folder.</x:t>
        </x:is>
      </x:c>
      <x:c r="V28" s="2" t="inlineStr">
        <x:is>
          <x:t xml:space="preserve">P0</x:t>
        </x:is>
      </x:c>
      <x:c r="W28" s="3" t="n">
        <x:v>40</x:v>
      </x:c>
      <x:c r="X28" s="3" t="n">
        <x:v>6</x:v>
      </x:c>
      <x:c r="Y28" s="2" t="inlineStr">
        <x:is>
          <x:t xml:space="preserve">Hard blocker #7.</x:t>
        </x:is>
      </x:c>
      <x:c r="Z28" s="8" t="n">
        <x:v>46030.15761975694</x:v>
      </x:c>
      <x:c r="AA28" s="2" t="inlineStr">
        <x:is>
          <x:t xml:space="preserve">ChatGPT</x:t>
        </x:is>
      </x:c>
      <x:c r="AB28" s="2" t="inlineStr">
        <x:is>
          <x:t xml:space="preserve">PDF App Store Readiness table + SECTION 12 blocker 7</x:t>
        </x:is>
      </x:c>
    </x:row>
    <x:row r="29">
      <x:c r="A29" s="2" t="inlineStr">
        <x:is>
          <x:t xml:space="preserve">F-028</x:t>
        </x:is>
      </x:c>
      <x:c r="B29" s="2" t="inlineStr">
        <x:is>
          <x:t xml:space="preserve">Android signing (keystore configured)</x:t>
        </x:is>
      </x:c>
      <x:c r="C29" s="2" t="inlineStr">
        <x:is>
          <x:t xml:space="preserve">Deployment</x:t>
        </x:is>
      </x:c>
      <x:c r="D29" s="2" t="inlineStr">
        <x:is>
          <x:t xml:space="preserve">android/app/build.gradle</x:t>
        </x:is>
      </x:c>
      <x:c r="E29" s="2" t="inlineStr">
        <x:is>
          <x:t xml:space="preserve">Partial</x:t>
        </x:is>
      </x:c>
      <x:c r="F29" s="3" t="n">
        <x:v>40</x:v>
      </x:c>
      <x:c r="G29" s="2" t="inlineStr">
        <x:is>
          <x:t xml:space="preserve">Android signing partial</x:t>
        </x:is>
      </x:c>
      <x:c r="H29" s="2" t="inlineStr">
        <x:is>
          <x:t xml:space="preserve">Partial</x:t>
        </x:is>
      </x:c>
      <x:c r="I29" s="3" t="n">
        <x:v>30</x:v>
      </x:c>
      <x:c r="J29" s="2" t="inlineStr">
        <x:is>
          <x:t xml:space="preserve">Android signing partial</x:t>
        </x:is>
      </x:c>
      <x:c r="K29" s="2" t="inlineStr">
        <x:is>
          <x:t xml:space="preserve">Partial</x:t>
        </x:is>
      </x:c>
      <x:c r="L29" s="3" t="n">
        <x:v>30</x:v>
      </x:c>
      <x:c r="M29" s="2" t="n"/>
      <x:c r="N29" s="2" t="n"/>
      <x:c r="O29" s="2" t="n"/>
      <x:c r="P29" s="2" t="inlineStr">
        <x:is>
          <x:t xml:space="preserve">N/A</x:t>
        </x:is>
      </x:c>
      <x:c r="Q29" s="2" t="inlineStr">
        <x:is>
          <x:t xml:space="preserve">N/A</x:t>
        </x:is>
      </x:c>
      <x:c r="R29" s="2" t="inlineStr">
        <x:is>
          <x:t xml:space="preserve">Android Keystore</x:t>
        </x:is>
      </x:c>
      <x:c r="S29" s="2" t="inlineStr">
        <x:is>
          <x:t xml:space="preserve">NO</x:t>
        </x:is>
      </x:c>
      <x:c r="T29" s="2" t="inlineStr">
        <x:is>
          <x:t xml:space="preserve">Infra</x:t>
        </x:is>
      </x:c>
      <x:c r="U29" s="2" t="inlineStr">
        <x:is>
          <x:t xml:space="preserve">Android signing partial; keystore not configured.</x:t>
        </x:is>
      </x:c>
      <x:c r="V29" s="2" t="inlineStr">
        <x:is>
          <x:t xml:space="preserve">P0</x:t>
        </x:is>
      </x:c>
      <x:c r="W29" s="3" t="n">
        <x:v>40</x:v>
      </x:c>
      <x:c r="X29" s="3" t="n">
        <x:v>7</x:v>
      </x:c>
      <x:c r="Y29" s="2" t="inlineStr">
        <x:is>
          <x:t xml:space="preserve">Hard blocker #7.</x:t>
        </x:is>
      </x:c>
      <x:c r="Z29" s="8" t="n">
        <x:v>46030.15761975694</x:v>
      </x:c>
      <x:c r="AA29" s="2" t="inlineStr">
        <x:is>
          <x:t xml:space="preserve">ChatGPT</x:t>
        </x:is>
      </x:c>
      <x:c r="AB29" s="2" t="inlineStr">
        <x:is>
          <x:t xml:space="preserve">PDF App Store Readiness table + SECTION 12 blocker 7</x:t>
        </x:is>
      </x:c>
    </x:row>
    <x:row r="30">
      <x:c r="A30" s="2" t="inlineStr">
        <x:is>
          <x:t xml:space="preserve">F-029</x:t>
        </x:is>
      </x:c>
      <x:c r="B30" s="2" t="inlineStr">
        <x:is>
          <x:t xml:space="preserve">Privacy policy hosted + linked in apps</x:t>
        </x:is>
      </x:c>
      <x:c r="C30" s="2" t="inlineStr">
        <x:is>
          <x:t xml:space="preserve">Compliance/Legal</x:t>
        </x:is>
      </x:c>
      <x:c r="D30" s="2" t="inlineStr">
        <x:is>
          <x:t xml:space="preserve">N/A</x:t>
        </x:is>
      </x:c>
      <x:c r="E30" s="2" t="inlineStr">
        <x:is>
          <x:t xml:space="preserve">Not Started</x:t>
        </x:is>
      </x:c>
      <x:c r="F30" s="3" t="n">
        <x:v>0</x:v>
      </x:c>
      <x:c r="G30" s="2" t="inlineStr">
        <x:is>
          <x:t xml:space="preserve">Not linked</x:t>
        </x:is>
      </x:c>
      <x:c r="H30" s="2" t="inlineStr">
        <x:is>
          <x:t xml:space="preserve">Not Started</x:t>
        </x:is>
      </x:c>
      <x:c r="I30" s="3" t="n">
        <x:v>0</x:v>
      </x:c>
      <x:c r="J30" s="2" t="inlineStr">
        <x:is>
          <x:t xml:space="preserve">Not linked</x:t>
        </x:is>
      </x:c>
      <x:c r="K30" s="2" t="inlineStr">
        <x:is>
          <x:t xml:space="preserve">Not Started</x:t>
        </x:is>
      </x:c>
      <x:c r="L30" s="3" t="n">
        <x:v>0</x:v>
      </x:c>
      <x:c r="M30" s="2" t="inlineStr">
        <x:is>
          <x:t xml:space="preserve">Not linked</x:t>
        </x:is>
      </x:c>
      <x:c r="N30" s="2" t="inlineStr">
        <x:is>
          <x:t xml:space="preserve">Not Started</x:t>
        </x:is>
      </x:c>
      <x:c r="O30" s="3" t="n">
        <x:v>0</x:v>
      </x:c>
      <x:c r="P30" s="2" t="inlineStr">
        <x:is>
          <x:t xml:space="preserve">N/A</x:t>
        </x:is>
      </x:c>
      <x:c r="Q30" s="2" t="inlineStr">
        <x:is>
          <x:t xml:space="preserve">N/A</x:t>
        </x:is>
      </x:c>
      <x:c r="R30" s="2" t="inlineStr">
        <x:is>
          <x:t xml:space="preserve">Hosting</x:t>
        </x:is>
      </x:c>
      <x:c r="S30" s="2" t="inlineStr">
        <x:is>
          <x:t xml:space="preserve">NO</x:t>
        </x:is>
      </x:c>
      <x:c r="T30" s="2" t="inlineStr">
        <x:is>
          <x:t xml:space="preserve">Business</x:t>
        </x:is>
      </x:c>
      <x:c r="U30" s="2" t="inlineStr">
        <x:is>
          <x:t xml:space="preserve">Privacy policy not hosted/linked.</x:t>
        </x:is>
      </x:c>
      <x:c r="V30" s="2" t="inlineStr">
        <x:is>
          <x:t xml:space="preserve">P2</x:t>
        </x:is>
      </x:c>
      <x:c r="W30" s="3" t="n">
        <x:v>16</x:v>
      </x:c>
      <x:c r="X30" s="3" t="n">
        <x:v>37</x:v>
      </x:c>
      <x:c r="Y30" s="2" t="inlineStr">
        <x:is>
          <x:t xml:space="preserve">Required for stores.</x:t>
        </x:is>
      </x:c>
      <x:c r="Z30" s="8" t="n">
        <x:v>46030.15761975694</x:v>
      </x:c>
      <x:c r="AA30" s="2" t="inlineStr">
        <x:is>
          <x:t xml:space="preserve">ChatGPT</x:t>
        </x:is>
      </x:c>
      <x:c r="AB30" s="2" t="inlineStr">
        <x:is>
          <x:t xml:space="preserve">PDF App Store Readiness table</x:t>
        </x:is>
      </x:c>
    </x:row>
    <x:row r="31">
      <x:c r="A31" s="2" t="inlineStr">
        <x:is>
          <x:t xml:space="preserve">F-030</x:t>
        </x:is>
      </x:c>
      <x:c r="B31" s="2" t="inlineStr">
        <x:is>
          <x:t xml:space="preserve">Terms of service hosted + linked in apps</x:t>
        </x:is>
      </x:c>
      <x:c r="C31" s="2" t="inlineStr">
        <x:is>
          <x:t xml:space="preserve">Compliance/Legal</x:t>
        </x:is>
      </x:c>
      <x:c r="D31" s="2" t="inlineStr">
        <x:is>
          <x:t xml:space="preserve">N/A</x:t>
        </x:is>
      </x:c>
      <x:c r="E31" s="2" t="inlineStr">
        <x:is>
          <x:t xml:space="preserve">Not Started</x:t>
        </x:is>
      </x:c>
      <x:c r="F31" s="3" t="n">
        <x:v>0</x:v>
      </x:c>
      <x:c r="G31" s="2" t="inlineStr">
        <x:is>
          <x:t xml:space="preserve">Not linked</x:t>
        </x:is>
      </x:c>
      <x:c r="H31" s="2" t="inlineStr">
        <x:is>
          <x:t xml:space="preserve">Not Started</x:t>
        </x:is>
      </x:c>
      <x:c r="I31" s="3" t="n">
        <x:v>0</x:v>
      </x:c>
      <x:c r="J31" s="2" t="inlineStr">
        <x:is>
          <x:t xml:space="preserve">Not linked</x:t>
        </x:is>
      </x:c>
      <x:c r="K31" s="2" t="inlineStr">
        <x:is>
          <x:t xml:space="preserve">Not Started</x:t>
        </x:is>
      </x:c>
      <x:c r="L31" s="3" t="n">
        <x:v>0</x:v>
      </x:c>
      <x:c r="M31" s="2" t="inlineStr">
        <x:is>
          <x:t xml:space="preserve">Not linked</x:t>
        </x:is>
      </x:c>
      <x:c r="N31" s="2" t="inlineStr">
        <x:is>
          <x:t xml:space="preserve">Not Started</x:t>
        </x:is>
      </x:c>
      <x:c r="O31" s="3" t="n">
        <x:v>0</x:v>
      </x:c>
      <x:c r="P31" s="2" t="inlineStr">
        <x:is>
          <x:t xml:space="preserve">N/A</x:t>
        </x:is>
      </x:c>
      <x:c r="Q31" s="2" t="inlineStr">
        <x:is>
          <x:t xml:space="preserve">N/A</x:t>
        </x:is>
      </x:c>
      <x:c r="R31" s="2" t="inlineStr">
        <x:is>
          <x:t xml:space="preserve">Hosting</x:t>
        </x:is>
      </x:c>
      <x:c r="S31" s="2" t="inlineStr">
        <x:is>
          <x:t xml:space="preserve">NO</x:t>
        </x:is>
      </x:c>
      <x:c r="T31" s="2" t="inlineStr">
        <x:is>
          <x:t xml:space="preserve">Business</x:t>
        </x:is>
      </x:c>
      <x:c r="U31" s="2" t="inlineStr">
        <x:is>
          <x:t xml:space="preserve">Terms of service not hosted/linked.</x:t>
        </x:is>
      </x:c>
      <x:c r="V31" s="2" t="inlineStr">
        <x:is>
          <x:t xml:space="preserve">P2</x:t>
        </x:is>
      </x:c>
      <x:c r="W31" s="3" t="n">
        <x:v>16</x:v>
      </x:c>
      <x:c r="X31" s="3" t="n">
        <x:v>38</x:v>
      </x:c>
      <x:c r="Y31" s="2" t="inlineStr">
        <x:is>
          <x:t xml:space="preserve">Required for stores.</x:t>
        </x:is>
      </x:c>
      <x:c r="Z31" s="8" t="n">
        <x:v>46030.15761975694</x:v>
      </x:c>
      <x:c r="AA31" s="2" t="inlineStr">
        <x:is>
          <x:t xml:space="preserve">ChatGPT</x:t>
        </x:is>
      </x:c>
      <x:c r="AB31" s="2" t="inlineStr">
        <x:is>
          <x:t xml:space="preserve">PDF App Store Readiness table</x:t>
        </x:is>
      </x:c>
    </x:row>
    <x:row r="32">
      <x:c r="A32" s="2" t="inlineStr">
        <x:is>
          <x:t xml:space="preserve">F-031</x:t>
        </x:is>
      </x:c>
      <x:c r="B32" s="2" t="inlineStr">
        <x:is>
          <x:t xml:space="preserve">GDPR data export (user request) wired to UI</x:t>
        </x:is>
      </x:c>
      <x:c r="C32" s="2" t="inlineStr">
        <x:is>
          <x:t xml:space="preserve">Compliance</x:t>
        </x:is>
      </x:c>
      <x:c r="D32" s="2" t="inlineStr">
        <x:is>
          <x:t xml:space="preserve">firebase-functions/src/privacy.ts (disabled)</x:t>
        </x:is>
      </x:c>
      <x:c r="E32" s="2" t="inlineStr">
        <x:is>
          <x:t xml:space="preserve">Partial</x:t>
        </x:is>
      </x:c>
      <x:c r="F32" s="3" t="n">
        <x:v>20</x:v>
      </x:c>
      <x:c r="G32" s="2" t="inlineStr">
        <x:is>
          <x:t xml:space="preserve">No UI entry</x:t>
        </x:is>
      </x:c>
      <x:c r="H32" s="2" t="inlineStr">
        <x:is>
          <x:t xml:space="preserve">Not Started</x:t>
        </x:is>
      </x:c>
      <x:c r="I32" s="3" t="n">
        <x:v>0</x:v>
      </x:c>
      <x:c r="J32" s="2" t="inlineStr">
        <x:is>
          <x:t xml:space="preserve">No UI entry</x:t>
        </x:is>
      </x:c>
      <x:c r="K32" s="2" t="inlineStr">
        <x:is>
          <x:t xml:space="preserve">Not Started</x:t>
        </x:is>
      </x:c>
      <x:c r="L32" s="3" t="n">
        <x:v>0</x:v>
      </x:c>
      <x:c r="M32" s="2" t="n"/>
      <x:c r="N32" s="2" t="n"/>
      <x:c r="O32" s="2" t="n"/>
      <x:c r="P32" s="2" t="inlineStr">
        <x:is>
          <x:t xml:space="preserve">exportUserData (disabled)</x:t>
        </x:is>
      </x:c>
      <x:c r="Q32" s="2" t="inlineStr">
        <x:is>
          <x:t xml:space="preserve">users, exports</x:t>
        </x:is>
      </x:c>
      <x:c r="R32" s="2" t="inlineStr">
        <x:is>
          <x:t xml:space="preserve">Permissions</x:t>
        </x:is>
      </x:c>
      <x:c r="S32" s="2" t="inlineStr">
        <x:is>
          <x:t xml:space="preserve">NO</x:t>
        </x:is>
      </x:c>
      <x:c r="T32" s="2" t="inlineStr">
        <x:is>
          <x:t xml:space="preserve">Tech</x:t>
        </x:is>
      </x:c>
      <x:c r="U32" s="2" t="inlineStr">
        <x:is>
          <x:t xml:space="preserve">Export function exists but disabled; no UI entry points.</x:t>
        </x:is>
      </x:c>
      <x:c r="V32" s="2" t="inlineStr">
        <x:is>
          <x:t xml:space="preserve">P1</x:t>
        </x:is>
      </x:c>
      <x:c r="W32" s="3" t="n">
        <x:v>24</x:v>
      </x:c>
      <x:c r="X32" s="3" t="n">
        <x:v>14</x:v>
      </x:c>
      <x:c r="Y32" s="2" t="inlineStr">
        <x:is>
          <x:t xml:space="preserve">High-impact before launch.</x:t>
        </x:is>
      </x:c>
      <x:c r="Z32" s="8" t="n">
        <x:v>46030.15761975694</x:v>
      </x:c>
      <x:c r="AA32" s="2" t="inlineStr">
        <x:is>
          <x:t xml:space="preserve">ChatGPT</x:t>
        </x:is>
      </x:c>
      <x:c r="AB32" s="2" t="inlineStr">
        <x:is>
          <x:t xml:space="preserve">PDF SECTION 6 item 9 + High-impact blocker 'No GDPR compliance UI'</x:t>
        </x:is>
      </x:c>
    </x:row>
    <x:row r="33">
      <x:c r="A33" s="2" t="inlineStr">
        <x:is>
          <x:t xml:space="preserve">F-032</x:t>
        </x:is>
      </x:c>
      <x:c r="B33" s="2" t="inlineStr">
        <x:is>
          <x:t xml:space="preserve">GDPR data deletion wired to UI</x:t>
        </x:is>
      </x:c>
      <x:c r="C33" s="2" t="inlineStr">
        <x:is>
          <x:t xml:space="preserve">Compliance</x:t>
        </x:is>
      </x:c>
      <x:c r="D33" s="2" t="inlineStr">
        <x:is>
          <x:t xml:space="preserve">firebase-functions/src/privacy.ts (disabled)</x:t>
        </x:is>
      </x:c>
      <x:c r="E33" s="2" t="inlineStr">
        <x:is>
          <x:t xml:space="preserve">Partial</x:t>
        </x:is>
      </x:c>
      <x:c r="F33" s="3" t="n">
        <x:v>20</x:v>
      </x:c>
      <x:c r="G33" s="2" t="inlineStr">
        <x:is>
          <x:t xml:space="preserve">No UI entry</x:t>
        </x:is>
      </x:c>
      <x:c r="H33" s="2" t="inlineStr">
        <x:is>
          <x:t xml:space="preserve">Not Started</x:t>
        </x:is>
      </x:c>
      <x:c r="I33" s="3" t="n">
        <x:v>0</x:v>
      </x:c>
      <x:c r="J33" s="2" t="inlineStr">
        <x:is>
          <x:t xml:space="preserve">No UI entry</x:t>
        </x:is>
      </x:c>
      <x:c r="K33" s="2" t="inlineStr">
        <x:is>
          <x:t xml:space="preserve">Not Started</x:t>
        </x:is>
      </x:c>
      <x:c r="L33" s="3" t="n">
        <x:v>0</x:v>
      </x:c>
      <x:c r="M33" s="2" t="n"/>
      <x:c r="N33" s="2" t="n"/>
      <x:c r="O33" s="2" t="n"/>
      <x:c r="P33" s="2" t="inlineStr">
        <x:is>
          <x:t xml:space="preserve">deleteUserData (disabled)</x:t>
        </x:is>
      </x:c>
      <x:c r="Q33" s="2" t="inlineStr">
        <x:is>
          <x:t xml:space="preserve">users</x:t>
        </x:is>
      </x:c>
      <x:c r="R33" s="2" t="inlineStr">
        <x:is>
          <x:t xml:space="preserve">Permissions</x:t>
        </x:is>
      </x:c>
      <x:c r="S33" s="2" t="inlineStr">
        <x:is>
          <x:t xml:space="preserve">NO</x:t>
        </x:is>
      </x:c>
      <x:c r="T33" s="2" t="inlineStr">
        <x:is>
          <x:t xml:space="preserve">Tech</x:t>
        </x:is>
      </x:c>
      <x:c r="U33" s="2" t="inlineStr">
        <x:is>
          <x:t xml:space="preserve">Deletion function exists but disabled; no UI entry points.</x:t>
        </x:is>
      </x:c>
      <x:c r="V33" s="2" t="inlineStr">
        <x:is>
          <x:t xml:space="preserve">P1</x:t>
        </x:is>
      </x:c>
      <x:c r="W33" s="3" t="n">
        <x:v>24</x:v>
      </x:c>
      <x:c r="X33" s="3" t="n">
        <x:v>15</x:v>
      </x:c>
      <x:c r="Y33" s="2" t="inlineStr">
        <x:is>
          <x:t xml:space="preserve">High-impact before launch.</x:t>
        </x:is>
      </x:c>
      <x:c r="Z33" s="8" t="n">
        <x:v>46030.15761975694</x:v>
      </x:c>
      <x:c r="AA33" s="2" t="inlineStr">
        <x:is>
          <x:t xml:space="preserve">ChatGPT</x:t>
        </x:is>
      </x:c>
      <x:c r="AB33" s="2" t="inlineStr">
        <x:is>
          <x:t xml:space="preserve">PDF SECTION 6 item 10 + High-impact blocker 'No GDPR compliance UI'</x:t>
        </x:is>
      </x:c>
    </x:row>
    <x:row r="34">
      <x:c r="A34" s="2" t="inlineStr">
        <x:is>
          <x:t xml:space="preserve">F-033</x:t>
        </x:is>
      </x:c>
      <x:c r="B34" s="2" t="inlineStr">
        <x:is>
          <x:t xml:space="preserve">Production monitoring + alerting (Sentry/Datadog) configured</x:t>
        </x:is>
      </x:c>
      <x:c r="C34" s="2" t="inlineStr">
        <x:is>
          <x:t xml:space="preserve">Observability</x:t>
        </x:is>
      </x:c>
      <x:c r="D34" s="2" t="inlineStr">
        <x:is>
          <x:t xml:space="preserve">firebase-functions/src/monitoring.ts (checks only)</x:t>
        </x:is>
      </x:c>
      <x:c r="E34" s="2" t="inlineStr">
        <x:is>
          <x:t xml:space="preserve">Partial</x:t>
        </x:is>
      </x:c>
      <x:c r="F34" s="3" t="n">
        <x:v>10</x:v>
      </x:c>
      <x:c r="G34" s="2" t="inlineStr">
        <x:is>
          <x:t xml:space="preserve">No crash reporting config</x:t>
        </x:is>
      </x:c>
      <x:c r="H34" s="2" t="inlineStr">
        <x:is>
          <x:t xml:space="preserve">Partial</x:t>
        </x:is>
      </x:c>
      <x:c r="I34" s="3" t="n">
        <x:v>10</x:v>
      </x:c>
      <x:c r="J34" s="2" t="inlineStr">
        <x:is>
          <x:t xml:space="preserve">No crash reporting config</x:t>
        </x:is>
      </x:c>
      <x:c r="K34" s="2" t="inlineStr">
        <x:is>
          <x:t xml:space="preserve">Partial</x:t>
        </x:is>
      </x:c>
      <x:c r="L34" s="3" t="n">
        <x:v>10</x:v>
      </x:c>
      <x:c r="M34" s="2" t="n"/>
      <x:c r="N34" s="2" t="n"/>
      <x:c r="O34" s="2" t="n"/>
      <x:c r="P34" s="2" t="inlineStr">
        <x:is>
          <x:t xml:space="preserve">N/A</x:t>
        </x:is>
      </x:c>
      <x:c r="Q34" s="2" t="inlineStr">
        <x:is>
          <x:t xml:space="preserve">logs</x:t>
        </x:is>
      </x:c>
      <x:c r="R34" s="2" t="inlineStr">
        <x:is>
          <x:t xml:space="preserve">Sentry/other</x:t>
        </x:is>
      </x:c>
      <x:c r="S34" s="2" t="inlineStr">
        <x:is>
          <x:t xml:space="preserve">NO</x:t>
        </x:is>
      </x:c>
      <x:c r="T34" s="2" t="inlineStr">
        <x:is>
          <x:t xml:space="preserve">Infra</x:t>
        </x:is>
      </x:c>
      <x:c r="U34" s="2" t="inlineStr">
        <x:is>
          <x:t xml:space="preserve">Crash reporting checks exist but not configured; no alerting/monitoring.</x:t>
        </x:is>
      </x:c>
      <x:c r="V34" s="2" t="inlineStr">
        <x:is>
          <x:t xml:space="preserve">P1</x:t>
        </x:is>
      </x:c>
      <x:c r="W34" s="3" t="n">
        <x:v>40</x:v>
      </x:c>
      <x:c r="X34" s="3" t="n">
        <x:v>16</x:v>
      </x:c>
      <x:c r="Y34" s="2" t="inlineStr">
        <x:is>
          <x:t xml:space="preserve">High-impact before launch.</x:t>
        </x:is>
      </x:c>
      <x:c r="Z34" s="8" t="n">
        <x:v>46030.15761975694</x:v>
      </x:c>
      <x:c r="AA34" s="2" t="inlineStr">
        <x:is>
          <x:t xml:space="preserve">ChatGPT</x:t>
        </x:is>
      </x:c>
      <x:c r="AB34" s="2" t="inlineStr">
        <x:is>
          <x:t xml:space="preserve">PDF SECTION 6 item 7 + App Store Readiness table (crash reporting partial)</x:t>
        </x:is>
      </x:c>
    </x:row>
    <x:row r="35">
      <x:c r="A35" s="2" t="inlineStr">
        <x:is>
          <x:t xml:space="preserve">F-034</x:t>
        </x:is>
      </x:c>
      <x:c r="B35" s="2" t="inlineStr">
        <x:is>
          <x:t xml:space="preserve">Rate limiting enforced in production (rules / middleware)</x:t>
        </x:is>
      </x:c>
      <x:c r="C35" s="2" t="inlineStr">
        <x:is>
          <x:t xml:space="preserve">Security</x:t>
        </x:is>
      </x:c>
      <x:c r="D35" s="2" t="inlineStr">
        <x:is>
          <x:t xml:space="preserve">Exists but not deployed in Firebase rules</x:t>
        </x:is>
      </x:c>
      <x:c r="E35" s="2" t="inlineStr">
        <x:is>
          <x:t xml:space="preserve">Not Started</x:t>
        </x:is>
      </x:c>
      <x:c r="F35" s="3" t="n">
        <x:v>0</x:v>
      </x:c>
      <x:c r="G35" s="2" t="n"/>
      <x:c r="H35" s="2" t="n"/>
      <x:c r="I35" s="2" t="n"/>
      <x:c r="J35" s="2" t="n"/>
      <x:c r="K35" s="2" t="n"/>
      <x:c r="L35" s="2" t="n"/>
      <x:c r="M35" s="2" t="n"/>
      <x:c r="N35" s="2" t="n"/>
      <x:c r="O35" s="2" t="n"/>
      <x:c r="P35" s="2" t="inlineStr">
        <x:is>
          <x:t xml:space="preserve">N/A</x:t>
        </x:is>
      </x:c>
      <x:c r="Q35" s="2" t="inlineStr">
        <x:is>
          <x:t xml:space="preserve">N/A</x:t>
        </x:is>
      </x:c>
      <x:c r="R35" s="2" t="inlineStr">
        <x:is>
          <x:t xml:space="preserve">Firebase rules</x:t>
        </x:is>
      </x:c>
      <x:c r="S35" s="2" t="inlineStr">
        <x:is>
          <x:t xml:space="preserve">NO</x:t>
        </x:is>
      </x:c>
      <x:c r="T35" s="2" t="inlineStr">
        <x:is>
          <x:t xml:space="preserve">Infra</x:t>
        </x:is>
      </x:c>
      <x:c r="U35" s="2" t="inlineStr">
        <x:is>
          <x:t xml:space="preserve">No rate limiting deployed.</x:t>
        </x:is>
      </x:c>
      <x:c r="V35" s="2" t="inlineStr">
        <x:is>
          <x:t xml:space="preserve">P1</x:t>
        </x:is>
      </x:c>
      <x:c r="W35" s="3" t="n">
        <x:v>8</x:v>
      </x:c>
      <x:c r="X35" s="3" t="n">
        <x:v>17</x:v>
      </x:c>
      <x:c r="Y35" s="2" t="inlineStr">
        <x:is>
          <x:t xml:space="preserve">Listed as missing.</x:t>
        </x:is>
      </x:c>
      <x:c r="Z35" s="8" t="n">
        <x:v>46030.15761975694</x:v>
      </x:c>
      <x:c r="AA35" s="2" t="inlineStr">
        <x:is>
          <x:t xml:space="preserve">ChatGPT</x:t>
        </x:is>
      </x:c>
      <x:c r="AB35" s="2" t="inlineStr">
        <x:is>
          <x:t xml:space="preserve">PDF SECTION 6 item 5 + High-impact blocker</x:t>
        </x:is>
      </x:c>
    </x:row>
    <x:row r="36">
      <x:c r="A36" s="2" t="inlineStr">
        <x:is>
          <x:t xml:space="preserve">F-035</x:t>
        </x:is>
      </x:c>
      <x:c r="B36" s="2" t="inlineStr">
        <x:is>
          <x:t xml:space="preserve">Backend input validation enforced on all functions</x:t>
        </x:is>
      </x:c>
      <x:c r="C36" s="2" t="inlineStr">
        <x:is>
          <x:t xml:space="preserve">Security/Data Integrity</x:t>
        </x:is>
      </x:c>
      <x:c r="D36" s="2" t="inlineStr">
        <x:is>
          <x:t xml:space="preserve">Schemas exist but not enforced on 11/15 functions</x:t>
        </x:is>
      </x:c>
      <x:c r="E36" s="2" t="inlineStr">
        <x:is>
          <x:t xml:space="preserve">Partial</x:t>
        </x:is>
      </x:c>
      <x:c r="F36" s="3" t="n">
        <x:v>40</x:v>
      </x:c>
      <x:c r="G36" s="2" t="n"/>
      <x:c r="H36" s="2" t="n"/>
      <x:c r="I36" s="2" t="n"/>
      <x:c r="J36" s="2" t="n"/>
      <x:c r="K36" s="2" t="n"/>
      <x:c r="L36" s="2" t="n"/>
      <x:c r="M36" s="2" t="n"/>
      <x:c r="N36" s="2" t="n"/>
      <x:c r="O36" s="2" t="n"/>
      <x:c r="P36" s="2" t="inlineStr">
        <x:is>
          <x:t xml:space="preserve">various httpsCallable</x:t>
        </x:is>
      </x:c>
      <x:c r="Q36" s="2" t="inlineStr">
        <x:is>
          <x:t xml:space="preserve">various</x:t>
        </x:is>
      </x:c>
      <x:c r="R36" s="2" t="inlineStr">
        <x:is>
          <x:t xml:space="preserve">Zod/validators</x:t>
        </x:is>
      </x:c>
      <x:c r="S36" s="2" t="inlineStr">
        <x:is>
          <x:t xml:space="preserve">NO</x:t>
        </x:is>
      </x:c>
      <x:c r="T36" s="2" t="inlineStr">
        <x:is>
          <x:t xml:space="preserve">Tech</x:t>
        </x:is>
      </x:c>
      <x:c r="U36" s="2" t="inlineStr">
        <x:is>
          <x:t xml:space="preserve">Schemas exist but not enforced across functions (11/15 not enforced per PDF).</x:t>
        </x:is>
      </x:c>
      <x:c r="V36" s="2" t="inlineStr">
        <x:is>
          <x:t xml:space="preserve">P1</x:t>
        </x:is>
      </x:c>
      <x:c r="W36" s="3" t="n">
        <x:v>24</x:v>
      </x:c>
      <x:c r="X36" s="3" t="n">
        <x:v>18</x:v>
      </x:c>
      <x:c r="Y36" s="2" t="inlineStr">
        <x:is>
          <x:t xml:space="preserve">High-impact.</x:t>
        </x:is>
      </x:c>
      <x:c r="Z36" s="8" t="n">
        <x:v>46030.15761975694</x:v>
      </x:c>
      <x:c r="AA36" s="2" t="inlineStr">
        <x:is>
          <x:t xml:space="preserve">ChatGPT</x:t>
        </x:is>
      </x:c>
      <x:c r="AB36" s="2" t="inlineStr">
        <x:is>
          <x:t xml:space="preserve">PDF SECTION 6 item 6 + High-impact blocker</x:t>
        </x:is>
      </x:c>
    </x:row>
    <x:row r="37">
      <x:c r="A37" s="2" t="inlineStr">
        <x:is>
          <x:t xml:space="preserve">F-036</x:t>
        </x:is>
      </x:c>
      <x:c r="B37" s="2" t="inlineStr">
        <x:is>
          <x:t xml:space="preserve">Audit logging system (write + admin view)</x:t>
        </x:is>
      </x:c>
      <x:c r="C37" s="2" t="inlineStr">
        <x:is>
          <x:t xml:space="preserve">Security/Compliance</x:t>
        </x:is>
      </x:c>
      <x:c r="D37" s="2" t="inlineStr">
        <x:is>
          <x:t xml:space="preserve">N/A</x:t>
        </x:is>
      </x:c>
      <x:c r="E37" s="2" t="inlineStr">
        <x:is>
          <x:t xml:space="preserve">Not Started</x:t>
        </x:is>
      </x:c>
      <x:c r="F37" s="3" t="n">
        <x:v>0</x:v>
      </x:c>
      <x:c r="G37" s="2" t="n"/>
      <x:c r="H37" s="2" t="n"/>
      <x:c r="I37" s="2" t="n"/>
      <x:c r="J37" s="2" t="n"/>
      <x:c r="K37" s="2" t="n"/>
      <x:c r="L37" s="2" t="n"/>
      <x:c r="M37" s="2" t="inlineStr">
        <x:is>
          <x:t xml:space="preserve">No UI</x:t>
        </x:is>
      </x:c>
      <x:c r="N37" s="2" t="inlineStr">
        <x:is>
          <x:t xml:space="preserve">Not Started</x:t>
        </x:is>
      </x:c>
      <x:c r="O37" s="3" t="n">
        <x:v>0</x:v>
      </x:c>
      <x:c r="P37" s="2" t="inlineStr">
        <x:is>
          <x:t xml:space="preserve">N/A</x:t>
        </x:is>
      </x:c>
      <x:c r="Q37" s="2" t="inlineStr">
        <x:is>
          <x:t xml:space="preserve">audit_logs</x:t>
        </x:is>
      </x:c>
      <x:c r="R37" s="2" t="inlineStr">
        <x:is>
          <x:t xml:space="preserve">Firestore</x:t>
        </x:is>
      </x:c>
      <x:c r="S37" s="2" t="inlineStr">
        <x:is>
          <x:t xml:space="preserve">NO</x:t>
        </x:is>
      </x:c>
      <x:c r="T37" s="2" t="inlineStr">
        <x:is>
          <x:t xml:space="preserve">Business</x:t>
        </x:is>
      </x:c>
      <x:c r="U37" s="2" t="inlineStr">
        <x:is>
          <x:t xml:space="preserve">No audit log collection or admin view.</x:t>
        </x:is>
      </x:c>
      <x:c r="V37" s="2" t="inlineStr">
        <x:is>
          <x:t xml:space="preserve">P1</x:t>
        </x:is>
      </x:c>
      <x:c r="W37" s="3" t="n">
        <x:v>80</x:v>
      </x:c>
      <x:c r="X37" s="3" t="n">
        <x:v>19</x:v>
      </x:c>
      <x:c r="Y37" s="2" t="inlineStr">
        <x:is>
          <x:t xml:space="preserve">High-impact.</x:t>
        </x:is>
      </x:c>
      <x:c r="Z37" s="8" t="n">
        <x:v>46030.15761975694</x:v>
      </x:c>
      <x:c r="AA37" s="2" t="inlineStr">
        <x:is>
          <x:t xml:space="preserve">ChatGPT</x:t>
        </x:is>
      </x:c>
      <x:c r="AB37" s="2" t="inlineStr">
        <x:is>
          <x:t xml:space="preserve">PDF High-impact blocker 'No audit logs'</x:t>
        </x:is>
      </x:c>
    </x:row>
    <x:row r="38">
      <x:c r="A38" s="2" t="inlineStr">
        <x:is>
          <x:t xml:space="preserve">F-037</x:t>
        </x:is>
      </x:c>
      <x:c r="B38" s="2" t="inlineStr">
        <x:is>
          <x:t xml:space="preserve">Automated database backups</x:t>
        </x:is>
      </x:c>
      <x:c r="C38" s="2" t="inlineStr">
        <x:is>
          <x:t xml:space="preserve">Infra</x:t>
        </x:is>
      </x:c>
      <x:c r="D38" s="2" t="inlineStr">
        <x:is>
          <x:t xml:space="preserve">Manual script exists, no scheduler</x:t>
        </x:is>
      </x:c>
      <x:c r="E38" s="2" t="inlineStr">
        <x:is>
          <x:t xml:space="preserve">Partial</x:t>
        </x:is>
      </x:c>
      <x:c r="F38" s="3" t="n">
        <x:v>20</x:v>
      </x:c>
      <x:c r="G38" s="2" t="n"/>
      <x:c r="H38" s="2" t="n"/>
      <x:c r="I38" s="2" t="n"/>
      <x:c r="J38" s="2" t="n"/>
      <x:c r="K38" s="2" t="n"/>
      <x:c r="L38" s="2" t="n"/>
      <x:c r="M38" s="2" t="n"/>
      <x:c r="N38" s="2" t="n"/>
      <x:c r="O38" s="2" t="n"/>
      <x:c r="P38" s="2" t="inlineStr">
        <x:is>
          <x:t xml:space="preserve">N/A</x:t>
        </x:is>
      </x:c>
      <x:c r="Q38" s="2" t="inlineStr">
        <x:is>
          <x:t xml:space="preserve">firestore backups</x:t>
        </x:is>
      </x:c>
      <x:c r="R38" s="2" t="inlineStr">
        <x:is>
          <x:t xml:space="preserve">Scheduler</x:t>
        </x:is>
      </x:c>
      <x:c r="S38" s="2" t="inlineStr">
        <x:is>
          <x:t xml:space="preserve">NO</x:t>
        </x:is>
      </x:c>
      <x:c r="T38" s="2" t="inlineStr">
        <x:is>
          <x:t xml:space="preserve">Infra</x:t>
        </x:is>
      </x:c>
      <x:c r="U38" s="2" t="inlineStr">
        <x:is>
          <x:t xml:space="preserve">Manual script exists; no scheduler/automation.</x:t>
        </x:is>
      </x:c>
      <x:c r="V38" s="2" t="inlineStr">
        <x:is>
          <x:t xml:space="preserve">P1</x:t>
        </x:is>
      </x:c>
      <x:c r="W38" s="3" t="n">
        <x:v>8</x:v>
      </x:c>
      <x:c r="X38" s="3" t="n">
        <x:v>20</x:v>
      </x:c>
      <x:c r="Y38" s="2" t="inlineStr">
        <x:is>
          <x:t xml:space="preserve">High-impact.</x:t>
        </x:is>
      </x:c>
      <x:c r="Z38" s="8" t="n">
        <x:v>46030.15761975694</x:v>
      </x:c>
      <x:c r="AA38" s="2" t="inlineStr">
        <x:is>
          <x:t xml:space="preserve">ChatGPT</x:t>
        </x:is>
      </x:c>
      <x:c r="AB38" s="2" t="inlineStr">
        <x:is>
          <x:t xml:space="preserve">PDF SECTION 6 item 8 + High-impact blocker</x:t>
        </x:is>
      </x:c>
    </x:row>
    <x:row r="39">
      <x:c r="A39" s="2" t="inlineStr">
        <x:is>
          <x:t xml:space="preserve">F-038</x:t>
        </x:is>
      </x:c>
      <x:c r="B39" s="2" t="inlineStr">
        <x:is>
          <x:t xml:space="preserve">CI/CD pipeline (build/test/deploy automation)</x:t>
        </x:is>
      </x:c>
      <x:c r="C39" s="2" t="inlineStr">
        <x:is>
          <x:t xml:space="preserve">DevOps</x:t>
        </x:is>
      </x:c>
      <x:c r="D39" s="2" t="inlineStr">
        <x:is>
          <x:t xml:space="preserve">N/A</x:t>
        </x:is>
      </x:c>
      <x:c r="E39" s="2" t="inlineStr">
        <x:is>
          <x:t xml:space="preserve">Not Started</x:t>
        </x:is>
      </x:c>
      <x:c r="F39" s="3" t="n">
        <x:v>0</x:v>
      </x:c>
      <x:c r="G39" s="2" t="n"/>
      <x:c r="H39" s="2" t="n"/>
      <x:c r="I39" s="2" t="n"/>
      <x:c r="J39" s="2" t="n"/>
      <x:c r="K39" s="2" t="n"/>
      <x:c r="L39" s="2" t="n"/>
      <x:c r="M39" s="2" t="n"/>
      <x:c r="N39" s="2" t="n"/>
      <x:c r="O39" s="2" t="n"/>
      <x:c r="P39" s="2" t="inlineStr">
        <x:is>
          <x:t xml:space="preserve">N/A</x:t>
        </x:is>
      </x:c>
      <x:c r="Q39" s="2" t="inlineStr">
        <x:is>
          <x:t xml:space="preserve">N/A</x:t>
        </x:is>
      </x:c>
      <x:c r="R39" s="2" t="inlineStr">
        <x:is>
          <x:t xml:space="preserve">GitHub Actions/CI</x:t>
        </x:is>
      </x:c>
      <x:c r="S39" s="2" t="inlineStr">
        <x:is>
          <x:t xml:space="preserve">NO</x:t>
        </x:is>
      </x:c>
      <x:c r="T39" s="2" t="inlineStr">
        <x:is>
          <x:t xml:space="preserve">Infra</x:t>
        </x:is>
      </x:c>
      <x:c r="U39" s="2" t="inlineStr">
        <x:is>
          <x:t xml:space="preserve">No CI/CD pipeline.</x:t>
        </x:is>
      </x:c>
      <x:c r="V39" s="2" t="inlineStr">
        <x:is>
          <x:t xml:space="preserve">P2</x:t>
        </x:is>
      </x:c>
      <x:c r="W39" s="3" t="n">
        <x:v>40</x:v>
      </x:c>
      <x:c r="X39" s="3" t="n">
        <x:v>39</x:v>
      </x:c>
      <x:c r="Y39" s="2" t="inlineStr">
        <x:is>
          <x:t xml:space="preserve">Missing.</x:t>
        </x:is>
      </x:c>
      <x:c r="Z39" s="8" t="n">
        <x:v>46030.15761975694</x:v>
      </x:c>
      <x:c r="AA39" s="2" t="inlineStr">
        <x:is>
          <x:t xml:space="preserve">ChatGPT</x:t>
        </x:is>
      </x:c>
      <x:c r="AB39" s="2" t="inlineStr">
        <x:is>
          <x:t xml:space="preserve">PDF SECTION 6 item 4 (CI/CD missing)</x:t>
        </x:is>
      </x:c>
    </x:row>
    <x:row r="40">
      <x:c r="A40" s="2" t="inlineStr">
        <x:is>
          <x:t xml:space="preserve">F-039</x:t>
        </x:is>
      </x:c>
      <x:c r="B40" s="2" t="inlineStr">
        <x:is>
          <x:t xml:space="preserve">End-to-end tests for key flows</x:t>
        </x:is>
      </x:c>
      <x:c r="C40" s="2" t="inlineStr">
        <x:is>
          <x:t xml:space="preserve">QA</x:t>
        </x:is>
      </x:c>
      <x:c r="D40" s="2" t="inlineStr">
        <x:is>
          <x:t xml:space="preserve">Backend untested; no e2e suite</x:t>
        </x:is>
      </x:c>
      <x:c r="E40" s="2" t="inlineStr">
        <x:is>
          <x:t xml:space="preserve">Not Started</x:t>
        </x:is>
      </x:c>
      <x:c r="F40" s="3" t="n">
        <x:v>0</x:v>
      </x:c>
      <x:c r="G40" s="2" t="inlineStr">
        <x:is>
          <x:t xml:space="preserve">No e2e suite</x:t>
        </x:is>
      </x:c>
      <x:c r="H40" s="2" t="inlineStr">
        <x:is>
          <x:t xml:space="preserve">Not Started</x:t>
        </x:is>
      </x:c>
      <x:c r="I40" s="3" t="n">
        <x:v>0</x:v>
      </x:c>
      <x:c r="J40" s="2" t="inlineStr">
        <x:is>
          <x:t xml:space="preserve">No e2e suite</x:t>
        </x:is>
      </x:c>
      <x:c r="K40" s="2" t="inlineStr">
        <x:is>
          <x:t xml:space="preserve">Not Started</x:t>
        </x:is>
      </x:c>
      <x:c r="L40" s="3" t="n">
        <x:v>0</x:v>
      </x:c>
      <x:c r="M40" s="2" t="n"/>
      <x:c r="N40" s="2" t="n"/>
      <x:c r="O40" s="2" t="n"/>
      <x:c r="P40" s="2" t="inlineStr">
        <x:is>
          <x:t xml:space="preserve">N/A</x:t>
        </x:is>
      </x:c>
      <x:c r="Q40" s="2" t="inlineStr">
        <x:is>
          <x:t xml:space="preserve">N/A</x:t>
        </x:is>
      </x:c>
      <x:c r="R40" s="2" t="inlineStr">
        <x:is>
          <x:t xml:space="preserve">Playwright/Flutter integration tests</x:t>
        </x:is>
      </x:c>
      <x:c r="S40" s="2" t="inlineStr">
        <x:is>
          <x:t xml:space="preserve">NO</x:t>
        </x:is>
      </x:c>
      <x:c r="T40" s="2" t="inlineStr">
        <x:is>
          <x:t xml:space="preserve">Tech</x:t>
        </x:is>
      </x:c>
      <x:c r="U40" s="2" t="inlineStr">
        <x:is>
          <x:t xml:space="preserve">No e2e test suite evidenced in PDF.</x:t>
        </x:is>
      </x:c>
      <x:c r="V40" s="2" t="inlineStr">
        <x:is>
          <x:t xml:space="preserve">P2</x:t>
        </x:is>
      </x:c>
      <x:c r="W40" s="3" t="n">
        <x:v>40</x:v>
      </x:c>
      <x:c r="X40" s="3" t="n">
        <x:v>40</x:v>
      </x:c>
      <x:c r="Y40" s="2" t="inlineStr">
        <x:is>
          <x:t xml:space="preserve">Recommended 10 days in report.</x:t>
        </x:is>
      </x:c>
      <x:c r="Z40" s="8" t="n">
        <x:v>46030.15761975694</x:v>
      </x:c>
      <x:c r="AA40" s="2" t="inlineStr">
        <x:is>
          <x:t xml:space="preserve">ChatGPT</x:t>
        </x:is>
      </x:c>
      <x:c r="AB40" s="2" t="inlineStr">
        <x:is>
          <x:t xml:space="preserve">PDF does not provide evidence of e2e test suite; listed as missing in SECTION 6 (general)</x:t>
        </x:is>
      </x:c>
    </x:row>
    <x:row r="41">
      <x:c r="A41" s="2" t="inlineStr">
        <x:is>
          <x:t xml:space="preserve">F-040</x:t>
        </x:is>
      </x:c>
      <x:c r="B41" s="2" t="inlineStr">
        <x:is>
          <x:t xml:space="preserve">Secrets moved to Secret Manager (no hardcoded/disabled checks)</x:t>
        </x:is>
      </x:c>
      <x:c r="C41" s="2" t="inlineStr">
        <x:is>
          <x:t xml:space="preserve">Security/Infra</x:t>
        </x:is>
      </x:c>
      <x:c r="D41" s="2" t="inlineStr">
        <x:is>
          <x:t xml:space="preserve">firebase-functions/src/index.ts</x:t>
        </x:is>
      </x:c>
      <x:c r="E41" s="2" t="inlineStr">
        <x:is>
          <x:t xml:space="preserve">Partial</x:t>
        </x:is>
      </x:c>
      <x:c r="F41" s="3" t="n">
        <x:v>20</x:v>
      </x:c>
      <x:c r="G41" s="2" t="n"/>
      <x:c r="H41" s="2" t="n"/>
      <x:c r="I41" s="2" t="n"/>
      <x:c r="J41" s="2" t="n"/>
      <x:c r="K41" s="2" t="n"/>
      <x:c r="L41" s="2" t="n"/>
      <x:c r="M41" s="2" t="n"/>
      <x:c r="N41" s="2" t="n"/>
      <x:c r="O41" s="2" t="n"/>
      <x:c r="P41" s="2" t="inlineStr">
        <x:is>
          <x:t xml:space="preserve">Secret Manager integration</x:t>
        </x:is>
      </x:c>
      <x:c r="Q41" s="2" t="inlineStr">
        <x:is>
          <x:t xml:space="preserve">secrets</x:t>
        </x:is>
      </x:c>
      <x:c r="R41" s="2" t="inlineStr">
        <x:is>
          <x:t xml:space="preserve">GCP Secret Manager</x:t>
        </x:is>
      </x:c>
      <x:c r="S41" s="2" t="inlineStr">
        <x:is>
          <x:t xml:space="preserve">NO</x:t>
        </x:is>
      </x:c>
      <x:c r="T41" s="2" t="inlineStr">
        <x:is>
          <x:t xml:space="preserve">Infra</x:t>
        </x:is>
      </x:c>
      <x:c r="U41" s="2" t="inlineStr">
        <x:is>
          <x:t xml:space="preserve">Hardcoded secrets / commented secret validations; Secret Manager TODO.</x:t>
        </x:is>
      </x:c>
      <x:c r="V41" s="2" t="inlineStr">
        <x:is>
          <x:t xml:space="preserve">P0</x:t>
        </x:is>
      </x:c>
      <x:c r="W41" s="3" t="n">
        <x:v>8</x:v>
      </x:c>
      <x:c r="X41" s="3" t="n">
        <x:v>1</x:v>
      </x:c>
      <x:c r="Y41" s="2" t="inlineStr">
        <x:is>
          <x:t xml:space="preserve">Hard blocker #8.</x:t>
        </x:is>
      </x:c>
      <x:c r="Z41" s="8" t="n">
        <x:v>46030.15761975694</x:v>
      </x:c>
      <x:c r="AA41" s="2" t="inlineStr">
        <x:is>
          <x:t xml:space="preserve">ChatGPT</x:t>
        </x:is>
      </x:c>
      <x:c r="AB41" s="2" t="inlineStr">
        <x:is>
          <x:t xml:space="preserve">PDF SECTION 12 blocker 8 + Hardcoded Secrets table</x:t>
        </x:is>
      </x:c>
    </x:row>
    <x:row r="42">
      <x:c r="A42" s="2" t="inlineStr">
        <x:is>
          <x:t xml:space="preserve">F-041</x:t>
        </x:is>
      </x:c>
      <x:c r="B42" s="2" t="inlineStr">
        <x:is>
          <x:t xml:space="preserve">App store deployment scripts (iOS/Android)</x:t>
        </x:is>
      </x:c>
      <x:c r="C42" s="2" t="inlineStr">
        <x:is>
          <x:t xml:space="preserve">Deployment</x:t>
        </x:is>
      </x:c>
      <x:c r="D42" s="2" t="inlineStr">
        <x:is>
          <x:t xml:space="preserve">N/A</x:t>
        </x:is>
      </x:c>
      <x:c r="E42" s="2" t="inlineStr">
        <x:is>
          <x:t xml:space="preserve">Not Started</x:t>
        </x:is>
      </x:c>
      <x:c r="F42" s="3" t="n">
        <x:v>0</x:v>
      </x:c>
      <x:c r="G42" s="2" t="inlineStr">
        <x:is>
          <x:t xml:space="preserve">No store upload configs</x:t>
        </x:is>
      </x:c>
      <x:c r="H42" s="2" t="inlineStr">
        <x:is>
          <x:t xml:space="preserve">Not Started</x:t>
        </x:is>
      </x:c>
      <x:c r="I42" s="3" t="n">
        <x:v>0</x:v>
      </x:c>
      <x:c r="J42" s="2" t="inlineStr">
        <x:is>
          <x:t xml:space="preserve">No store upload configs</x:t>
        </x:is>
      </x:c>
      <x:c r="K42" s="2" t="inlineStr">
        <x:is>
          <x:t xml:space="preserve">Not Started</x:t>
        </x:is>
      </x:c>
      <x:c r="L42" s="3" t="n">
        <x:v>0</x:v>
      </x:c>
      <x:c r="M42" s="2" t="n"/>
      <x:c r="N42" s="2" t="n"/>
      <x:c r="O42" s="2" t="n"/>
      <x:c r="P42" s="2" t="inlineStr">
        <x:is>
          <x:t xml:space="preserve">N/A</x:t>
        </x:is>
      </x:c>
      <x:c r="Q42" s="2" t="inlineStr">
        <x:is>
          <x:t xml:space="preserve">N/A</x:t>
        </x:is>
      </x:c>
      <x:c r="R42" s="2" t="inlineStr">
        <x:is>
          <x:t xml:space="preserve">Fastlane/CI</x:t>
        </x:is>
      </x:c>
      <x:c r="S42" s="2" t="inlineStr">
        <x:is>
          <x:t xml:space="preserve">NO</x:t>
        </x:is>
      </x:c>
      <x:c r="T42" s="2" t="inlineStr">
        <x:is>
          <x:t xml:space="preserve">Infra</x:t>
        </x:is>
      </x:c>
      <x:c r="U42" s="2" t="inlineStr">
        <x:is>
          <x:t xml:space="preserve">No deployment scripts for store builds/submission.</x:t>
        </x:is>
      </x:c>
      <x:c r="V42" s="2" t="inlineStr">
        <x:is>
          <x:t xml:space="preserve">P2</x:t>
        </x:is>
      </x:c>
      <x:c r="W42" s="3" t="n">
        <x:v>40</x:v>
      </x:c>
      <x:c r="X42" s="3" t="n">
        <x:v>41</x:v>
      </x:c>
      <x:c r="Y42" s="2" t="inlineStr">
        <x:is>
          <x:t xml:space="preserve">Part of blocker #7.</x:t>
        </x:is>
      </x:c>
      <x:c r="Z42" s="8" t="n">
        <x:v>46030.15761975694</x:v>
      </x:c>
      <x:c r="AA42" s="2" t="inlineStr">
        <x:is>
          <x:t xml:space="preserve">ChatGPT</x:t>
        </x:is>
      </x:c>
      <x:c r="AB42" s="2" t="inlineStr">
        <x:is>
          <x:t xml:space="preserve">PDF SECTION 6 item 3 (deployment scripts missing) + App Store readiness context</x:t>
        </x:is>
      </x:c>
    </x:row>
    <x:row r="43">
      <x:c r="A43" s="2" t="inlineStr">
        <x:is>
          <x:t xml:space="preserve">F-042</x:t>
        </x:is>
      </x:c>
      <x:c r="B43" s="2" t="inlineStr">
        <x:is>
          <x:t xml:space="preserve">Customer referral system (referred_by wired)</x:t>
        </x:is>
      </x:c>
      <x:c r="C43" s="2" t="inlineStr">
        <x:is>
          <x:t xml:space="preserve">Growth</x:t>
        </x:is>
      </x:c>
      <x:c r="D43" s="2" t="inlineStr">
        <x:is>
          <x:t xml:space="preserve">Schema has referred_by field</x:t>
        </x:is>
      </x:c>
      <x:c r="E43" s="2" t="inlineStr">
        <x:is>
          <x:t xml:space="preserve">Partial</x:t>
        </x:is>
      </x:c>
      <x:c r="F43" s="3" t="n">
        <x:v>10</x:v>
      </x:c>
      <x:c r="G43" s="2" t="inlineStr">
        <x:is>
          <x:t xml:space="preserve">No UI</x:t>
        </x:is>
      </x:c>
      <x:c r="H43" s="2" t="inlineStr">
        <x:is>
          <x:t xml:space="preserve">Not Started</x:t>
        </x:is>
      </x:c>
      <x:c r="I43" s="3" t="n">
        <x:v>0</x:v>
      </x:c>
      <x:c r="J43" s="2" t="inlineStr">
        <x:is>
          <x:t xml:space="preserve">No UI</x:t>
        </x:is>
      </x:c>
      <x:c r="K43" s="2" t="inlineStr">
        <x:is>
          <x:t xml:space="preserve">Not Started</x:t>
        </x:is>
      </x:c>
      <x:c r="L43" s="3" t="n">
        <x:v>0</x:v>
      </x:c>
      <x:c r="M43" s="2" t="n"/>
      <x:c r="N43" s="2" t="n"/>
      <x:c r="O43" s="2" t="n"/>
      <x:c r="P43" s="2" t="inlineStr">
        <x:is>
          <x:t xml:space="preserve">N/A</x:t>
        </x:is>
      </x:c>
      <x:c r="Q43" s="2" t="inlineStr">
        <x:is>
          <x:t xml:space="preserve">users</x:t>
        </x:is>
      </x:c>
      <x:c r="R43" s="2" t="inlineStr">
        <x:is>
          <x:t xml:space="preserve">N/A</x:t>
        </x:is>
      </x:c>
      <x:c r="S43" s="2" t="inlineStr">
        <x:is>
          <x:t xml:space="preserve">NO</x:t>
        </x:is>
      </x:c>
      <x:c r="T43" s="2" t="inlineStr">
        <x:is>
          <x:t xml:space="preserve">Business</x:t>
        </x:is>
      </x:c>
      <x:c r="U43" s="2" t="inlineStr">
        <x:is>
          <x:t xml:space="preserve">referred_by field exists but not wired.</x:t>
        </x:is>
      </x:c>
      <x:c r="V43" s="2" t="inlineStr">
        <x:is>
          <x:t xml:space="preserve">P2</x:t>
        </x:is>
      </x:c>
      <x:c r="W43" s="3" t="n">
        <x:v>24</x:v>
      </x:c>
      <x:c r="X43" s="3" t="n">
        <x:v>42</x:v>
      </x:c>
      <x:c r="Y43" s="2" t="inlineStr">
        <x:is>
          <x:t xml:space="preserve">Optional.</x:t>
        </x:is>
      </x:c>
      <x:c r="Z43" s="8" t="n">
        <x:v>46030.15761975694</x:v>
      </x:c>
      <x:c r="AA43" s="2" t="inlineStr">
        <x:is>
          <x:t xml:space="preserve">ChatGPT</x:t>
        </x:is>
      </x:c>
      <x:c r="AB43" s="2" t="inlineStr">
        <x:is>
          <x:t xml:space="preserve">PDF SECTION 6 item 14 (Referral system missing)</x:t>
        </x:is>
      </x:c>
    </x:row>
    <x:row r="44">
      <x:c r="A44" s="2" t="inlineStr">
        <x:is>
          <x:t xml:space="preserve">F-043</x:t>
        </x:is>
      </x:c>
      <x:c r="B44" s="2" t="inlineStr">
        <x:is>
          <x:t xml:space="preserve">Advanced analytics (cohort/ML)</x:t>
        </x:is>
      </x:c>
      <x:c r="C44" s="2" t="inlineStr">
        <x:is>
          <x:t xml:space="preserve">Analytics</x:t>
        </x:is>
      </x:c>
      <x:c r="D44" s="2" t="inlineStr">
        <x:is>
          <x:t xml:space="preserve">N/A</x:t>
        </x:is>
      </x:c>
      <x:c r="E44" s="2" t="inlineStr">
        <x:is>
          <x:t xml:space="preserve">Not Started</x:t>
        </x:is>
      </x:c>
      <x:c r="F44" s="3" t="n">
        <x:v>0</x:v>
      </x:c>
      <x:c r="G44" s="2" t="n"/>
      <x:c r="H44" s="2" t="n"/>
      <x:c r="I44" s="2" t="n"/>
      <x:c r="J44" s="2" t="n"/>
      <x:c r="K44" s="2" t="n"/>
      <x:c r="L44" s="2" t="n"/>
      <x:c r="M44" s="2" t="inlineStr">
        <x:is>
          <x:t xml:space="preserve">Basic dashboard only</x:t>
        </x:is>
      </x:c>
      <x:c r="N44" s="2" t="inlineStr">
        <x:is>
          <x:t xml:space="preserve">Partial</x:t>
        </x:is>
      </x:c>
      <x:c r="O44" s="3" t="n">
        <x:v>30</x:v>
      </x:c>
      <x:c r="P44" s="2" t="inlineStr">
        <x:is>
          <x:t xml:space="preserve">N/A</x:t>
        </x:is>
      </x:c>
      <x:c r="Q44" s="2" t="inlineStr">
        <x:is>
          <x:t xml:space="preserve">analytics</x:t>
        </x:is>
      </x:c>
      <x:c r="R44" s="2" t="inlineStr">
        <x:is>
          <x:t xml:space="preserve">N/A</x:t>
        </x:is>
      </x:c>
      <x:c r="S44" s="2" t="inlineStr">
        <x:is>
          <x:t xml:space="preserve">NO</x:t>
        </x:is>
      </x:c>
      <x:c r="T44" s="2" t="inlineStr">
        <x:is>
          <x:t xml:space="preserve">Business</x:t>
        </x:is>
      </x:c>
      <x:c r="U44" s="2" t="inlineStr">
        <x:is>
          <x:t xml:space="preserve">Only basic dashboard; advanced analytics absent.</x:t>
        </x:is>
      </x:c>
      <x:c r="V44" s="2" t="inlineStr">
        <x:is>
          <x:t xml:space="preserve">P2</x:t>
        </x:is>
      </x:c>
      <x:c r="W44" s="3" t="n">
        <x:v>80</x:v>
      </x:c>
      <x:c r="X44" s="3" t="n">
        <x:v>43</x:v>
      </x:c>
      <x:c r="Y44" s="2" t="inlineStr">
        <x:is>
          <x:t xml:space="preserve">Out of scope per report; keep as future.</x:t>
        </x:is>
      </x:c>
      <x:c r="Z44" s="8" t="n">
        <x:v>46030.15761975694</x:v>
      </x:c>
      <x:c r="AA44" s="2" t="inlineStr">
        <x:is>
          <x:t xml:space="preserve">ChatGPT</x:t>
        </x:is>
      </x:c>
      <x:c r="AB44" s="2" t="inlineStr">
        <x:is>
          <x:t xml:space="preserve">PDF SECTION 6 item 11/12 (Advanced analytics missing) context</x:t>
        </x:is>
      </x:c>
    </x:row>
    <x:row r="45">
      <x:c r="A45" s="2" t="inlineStr">
        <x:is>
          <x:t xml:space="preserve">F-044</x:t>
        </x:is>
      </x:c>
      <x:c r="B45" s="2" t="inlineStr">
        <x:is>
          <x:t xml:space="preserve">Mobile apps quality gate (flutter analyze/test pass)</x:t>
        </x:is>
      </x:c>
      <x:c r="C45" s="2" t="inlineStr">
        <x:is>
          <x:t xml:space="preserve">QA</x:t>
        </x:is>
      </x:c>
      <x:c r="D45" s="2" t="inlineStr">
        <x:is>
          <x:t xml:space="preserve">N/A</x:t>
        </x:is>
      </x:c>
      <x:c r="E45" s="2" t="inlineStr">
        <x:is>
          <x:t xml:space="preserve">Done</x:t>
        </x:is>
      </x:c>
      <x:c r="F45" s="3" t="n">
        <x:v>100</x:v>
      </x:c>
      <x:c r="G45" s="2" t="inlineStr">
        <x:is>
          <x:t xml:space="preserve">flutter analyze/test pass</x:t>
        </x:is>
      </x:c>
      <x:c r="H45" s="2" t="inlineStr">
        <x:is>
          <x:t xml:space="preserve">Done</x:t>
        </x:is>
      </x:c>
      <x:c r="I45" s="3" t="n">
        <x:v>100</x:v>
      </x:c>
      <x:c r="J45" s="2" t="inlineStr">
        <x:is>
          <x:t xml:space="preserve">flutter analyze/test pass</x:t>
        </x:is>
      </x:c>
      <x:c r="K45" s="2" t="inlineStr">
        <x:is>
          <x:t xml:space="preserve">Done</x:t>
        </x:is>
      </x:c>
      <x:c r="L45" s="3" t="n">
        <x:v>100</x:v>
      </x:c>
      <x:c r="M45" s="2" t="n"/>
      <x:c r="N45" s="2" t="n"/>
      <x:c r="O45" s="2" t="n"/>
      <x:c r="P45" s="2" t="inlineStr">
        <x:is>
          <x:t xml:space="preserve">N/A</x:t>
        </x:is>
      </x:c>
      <x:c r="Q45" s="2" t="inlineStr">
        <x:is>
          <x:t xml:space="preserve">N/A</x:t>
        </x:is>
      </x:c>
      <x:c r="R45" s="2" t="inlineStr">
        <x:is>
          <x:t xml:space="preserve">Flutter</x:t>
        </x:is>
      </x:c>
      <x:c r="S45" s="2" t="inlineStr">
        <x:is>
          <x:t xml:space="preserve">YES</x:t>
        </x:is>
      </x:c>
      <x:c r="T45" s="2" t="inlineStr">
        <x:is>
          <x:t xml:space="preserve">None</x:t>
        </x:is>
      </x:c>
      <x:c r="U45" s="2" t="inlineStr">
        <x:is>
          <x:t xml:space="preserve"/>
        </x:is>
      </x:c>
      <x:c r="V45" s="2" t="inlineStr">
        <x:is>
          <x:t xml:space="preserve">P2</x:t>
        </x:is>
      </x:c>
      <x:c r="W45" s="3" t="n">
        <x:v>4</x:v>
      </x:c>
      <x:c r="X45" s="3" t="n">
        <x:v>44</x:v>
      </x:c>
      <x:c r="Y45" s="2" t="inlineStr">
        <x:is>
          <x:t xml:space="preserve">Confirmed.</x:t>
        </x:is>
      </x:c>
      <x:c r="Z45" s="8" t="n">
        <x:v>46030.15761975694</x:v>
      </x:c>
      <x:c r="AA45" s="2" t="inlineStr">
        <x:is>
          <x:t xml:space="preserve">ChatGPT</x:t>
        </x:is>
      </x:c>
      <x:c r="AB45" s="2" t="inlineStr">
        <x:is>
          <x:t xml:space="preserve">PDF SECTION 4 item 11 + Mobile Apps table (flutter analyze/test pass)</x:t>
        </x:is>
      </x:c>
    </x:row>
  </x:sheetData>
  <x:conditionalFormatting sqref="E2:E45">
    <x:cfRule type="expression" dxfId="0" priority="1">
      <x:formula>E2="Done"</x:formula>
    </x:cfRule>
    <x:cfRule type="expression" dxfId="1" priority="2">
      <x:formula>E2="Partial"</x:formula>
    </x:cfRule>
    <x:cfRule type="expression" dxfId="2" priority="3">
      <x:formula>E2="Not Started"</x:formula>
    </x:cfRule>
  </x:conditionalFormatting>
  <x:conditionalFormatting sqref="H2:H45">
    <x:cfRule type="expression" dxfId="0" priority="4">
      <x:formula>H2="Done"</x:formula>
    </x:cfRule>
    <x:cfRule type="expression" dxfId="1" priority="5">
      <x:formula>H2="Partial"</x:formula>
    </x:cfRule>
    <x:cfRule type="expression" dxfId="2" priority="6">
      <x:formula>H2="Not Started"</x:formula>
    </x:cfRule>
  </x:conditionalFormatting>
  <x:conditionalFormatting sqref="K2:K45">
    <x:cfRule type="expression" dxfId="0" priority="7">
      <x:formula>K2="Done"</x:formula>
    </x:cfRule>
    <x:cfRule type="expression" dxfId="1" priority="8">
      <x:formula>K2="Partial"</x:formula>
    </x:cfRule>
    <x:cfRule type="expression" dxfId="2" priority="9">
      <x:formula>K2="Not Started"</x:formula>
    </x:cfRule>
  </x:conditionalFormatting>
  <x:conditionalFormatting sqref="N2:N45">
    <x:cfRule type="expression" dxfId="0" priority="10">
      <x:formula>N2="Done"</x:formula>
    </x:cfRule>
    <x:cfRule type="expression" dxfId="1" priority="11">
      <x:formula>N2="Partial"</x:formula>
    </x:cfRule>
    <x:cfRule type="expression" dxfId="2" priority="12">
      <x:formula>N2="Not Started"</x:formula>
    </x:cfRule>
  </x:conditionalFormatting>
  <x:conditionalFormatting sqref="S2:S45">
    <x:cfRule type="expression" dxfId="0" priority="13">
      <x:formula>S2="YES"</x:formula>
    </x:cfRule>
    <x:cfRule type="expression" dxfId="2" priority="14">
      <x:formula>S2="NO"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customWidth="1"/>
    <x:col min="2" max="2" width="14" customWidth="1"/>
    <x:col min="4" max="4" width="18" customWidth="1"/>
    <x:col min="5" max="5" width="18" customWidth="1"/>
    <x:col min="6" max="6" width="18" customWidth="1"/>
    <x:col min="7" max="7" width="18" customWidth="1"/>
  </x:cols>
  <x:sheetData>
    <x:row r="1" ht="28" customHeight="1">
      <x:c r="A1" s="1" t="inlineStr">
        <x:is>
          <x:t xml:space="preserve">Metric</x:t>
        </x:is>
      </x:c>
      <x:c r="B1" s="1" t="inlineStr">
        <x:is>
          <x:t xml:space="preserve">Value</x:t>
        </x:is>
      </x:c>
      <x:c r="D1" s="1" t="inlineStr">
        <x:is>
          <x:t xml:space="preserve">Feature_ID</x:t>
        </x:is>
      </x:c>
      <x:c r="E1" s="1" t="inlineStr">
        <x:is>
          <x:t xml:space="preserve">Priority</x:t>
        </x:is>
      </x:c>
      <x:c r="F1" s="1" t="inlineStr">
        <x:is>
          <x:t xml:space="preserve">Row_Progress_%</x:t>
        </x:is>
      </x:c>
      <x:c r="G1" s="1" t="inlineStr">
        <x:is>
          <x:t xml:space="preserve">Weight</x:t>
        </x:is>
      </x:c>
    </x:row>
    <x:row r="2">
      <x:c r="A2" s="2" t="inlineStr">
        <x:is>
          <x:t xml:space="preserve">Overall Project Progress %</x:t>
        </x:is>
      </x:c>
      <x:c r="B2" s="9">
        <x:f>IFERROR(SUMPRODUCT(F2:F45,G2:G45)/SUM(G2:G45),0)</x:f>
        <x:v>23.561643835616437</x:v>
      </x:c>
      <x:c r="D2" t="str">
        <x:f>FULL_STACK_FEATURE_MATRIX!A2</x:f>
        <x:v>F-001</x:v>
      </x:c>
      <x:c r="E2" t="str">
        <x:f>FULL_STACK_FEATURE_MATRIX!V2</x:f>
        <x:v>P2</x:v>
      </x:c>
      <x:c r="F2" s="10">
        <x:f>MIN(IF(FULL_STACK_FEATURE_MATRIX!F2="",0,FULL_STACK_FEATURE_MATRIX!F2),IF(FULL_STACK_FEATURE_MATRIX!G2="",100,FULL_STACK_FEATURE_MATRIX!I2),IF(FULL_STACK_FEATURE_MATRIX!J2="",100,FULL_STACK_FEATURE_MATRIX!L2),IF(FULL_STACK_FEATURE_MATRIX!M2="",100,FULL_STACK_FEATURE_MATRIX!O2))</x:f>
        <x:v>100</x:v>
      </x:c>
      <x:c r="G2" s="7">
        <x:f>IF(E2="P0",3,IF(E2="P1",2,1))</x:f>
        <x:v>1</x:v>
      </x:c>
    </x:row>
    <x:row r="3">
      <x:c r="A3" s="2" t="inlineStr">
        <x:is>
          <x:t xml:space="preserve">Mobile Customer — Frontend %</x:t>
        </x:is>
      </x:c>
      <x:c r="B3" s="9">
        <x:f>IFERROR(SUMPRODUCT(--(FULL_STACK_FEATURE_MATRIX!$G$2:$G$45&lt;&gt;""),FULL_STACK_FEATURE_MATRIX!$I$2:$I$45)/SUMPRODUCT(--(FULL_STACK_FEATURE_MATRIX!$G$2:$G$45&lt;&gt;"")),0)</x:f>
        <x:v>41.73913043478261</x:v>
      </x:c>
      <x:c r="D3" t="str">
        <x:f>FULL_STACK_FEATURE_MATRIX!A3</x:f>
        <x:v>F-002</x:v>
      </x:c>
      <x:c r="E3" t="str">
        <x:f>FULL_STACK_FEATURE_MATRIX!V3</x:f>
        <x:v>P2</x:v>
      </x:c>
      <x:c r="F3" s="10">
        <x:f>MIN(IF(FULL_STACK_FEATURE_MATRIX!F3="",0,FULL_STACK_FEATURE_MATRIX!F3),IF(FULL_STACK_FEATURE_MATRIX!G3="",100,FULL_STACK_FEATURE_MATRIX!I3),IF(FULL_STACK_FEATURE_MATRIX!J3="",100,FULL_STACK_FEATURE_MATRIX!L3),IF(FULL_STACK_FEATURE_MATRIX!M3="",100,FULL_STACK_FEATURE_MATRIX!O3))</x:f>
        <x:v>100</x:v>
      </x:c>
      <x:c r="G3" s="7">
        <x:f>IF(E3="P0",3,IF(E3="P1",2,1))</x:f>
        <x:v>1</x:v>
      </x:c>
    </x:row>
    <x:row r="4">
      <x:c r="A4" s="2" t="inlineStr">
        <x:is>
          <x:t xml:space="preserve">Mobile Customer — Backend %</x:t>
        </x:is>
      </x:c>
      <x:c r="B4" s="9">
        <x:f>IFERROR(SUMPRODUCT(--(FULL_STACK_FEATURE_MATRIX!$G$2:$G$45&lt;&gt;""),FULL_STACK_FEATURE_MATRIX!$F$2:$F$45)/SUMPRODUCT(--(FULL_STACK_FEATURE_MATRIX!$G$2:$G$45&lt;&gt;"")),0)</x:f>
        <x:v>46.52173913043478</x:v>
      </x:c>
      <x:c r="D4" t="str">
        <x:f>FULL_STACK_FEATURE_MATRIX!A4</x:f>
        <x:v>F-003</x:v>
      </x:c>
      <x:c r="E4" t="str">
        <x:f>FULL_STACK_FEATURE_MATRIX!V4</x:f>
        <x:v>P2</x:v>
      </x:c>
      <x:c r="F4" s="10">
        <x:f>MIN(IF(FULL_STACK_FEATURE_MATRIX!F4="",0,FULL_STACK_FEATURE_MATRIX!F4),IF(FULL_STACK_FEATURE_MATRIX!G4="",100,FULL_STACK_FEATURE_MATRIX!I4),IF(FULL_STACK_FEATURE_MATRIX!J4="",100,FULL_STACK_FEATURE_MATRIX!L4),IF(FULL_STACK_FEATURE_MATRIX!M4="",100,FULL_STACK_FEATURE_MATRIX!O4))</x:f>
        <x:v>100</x:v>
      </x:c>
      <x:c r="G4" s="7">
        <x:f>IF(E4="P0",3,IF(E4="P1",2,1))</x:f>
        <x:v>1</x:v>
      </x:c>
    </x:row>
    <x:row r="5">
      <x:c r="A5" s="2" t="inlineStr">
        <x:is>
          <x:t xml:space="preserve">Mobile Customer — Full-Stack % (MIN)</x:t>
        </x:is>
      </x:c>
      <x:c r="B5" s="9">
        <x:f>MIN(B3,B4)</x:f>
        <x:v>41.73913043478261</x:v>
      </x:c>
      <x:c r="D5" t="str">
        <x:f>FULL_STACK_FEATURE_MATRIX!A5</x:f>
        <x:v>F-004</x:v>
      </x:c>
      <x:c r="E5" t="str">
        <x:f>FULL_STACK_FEATURE_MATRIX!V5</x:f>
        <x:v>P2</x:v>
      </x:c>
      <x:c r="F5" s="10">
        <x:f>MIN(IF(FULL_STACK_FEATURE_MATRIX!F5="",0,FULL_STACK_FEATURE_MATRIX!F5),IF(FULL_STACK_FEATURE_MATRIX!G5="",100,FULL_STACK_FEATURE_MATRIX!I5),IF(FULL_STACK_FEATURE_MATRIX!J5="",100,FULL_STACK_FEATURE_MATRIX!L5),IF(FULL_STACK_FEATURE_MATRIX!M5="",100,FULL_STACK_FEATURE_MATRIX!O5))</x:f>
        <x:v>100</x:v>
      </x:c>
      <x:c r="G5" s="7">
        <x:f>IF(E5="P0",3,IF(E5="P1",2,1))</x:f>
        <x:v>1</x:v>
      </x:c>
    </x:row>
    <x:row r="6">
      <x:c r="A6" s="2" t="inlineStr">
        <x:is>
          <x:t xml:space="preserve">Mobile Merchant — Frontend %</x:t>
        </x:is>
      </x:c>
      <x:c r="B6" s="9">
        <x:f>IFERROR(SUMPRODUCT(--(FULL_STACK_FEATURE_MATRIX!$J$2:$J$45&lt;&gt;""),FULL_STACK_FEATURE_MATRIX!$L$2:$L$45)/SUMPRODUCT(--(FULL_STACK_FEATURE_MATRIX!$J$2:$J$45&lt;&gt;"")),0)</x:f>
        <x:v>32</x:v>
      </x:c>
      <x:c r="D6" t="str">
        <x:f>FULL_STACK_FEATURE_MATRIX!A6</x:f>
        <x:v>F-005</x:v>
      </x:c>
      <x:c r="E6" t="str">
        <x:f>FULL_STACK_FEATURE_MATRIX!V6</x:f>
        <x:v>P2</x:v>
      </x:c>
      <x:c r="F6" s="10">
        <x:f>MIN(IF(FULL_STACK_FEATURE_MATRIX!F6="",0,FULL_STACK_FEATURE_MATRIX!F6),IF(FULL_STACK_FEATURE_MATRIX!G6="",100,FULL_STACK_FEATURE_MATRIX!I6),IF(FULL_STACK_FEATURE_MATRIX!J6="",100,FULL_STACK_FEATURE_MATRIX!L6),IF(FULL_STACK_FEATURE_MATRIX!M6="",100,FULL_STACK_FEATURE_MATRIX!O6))</x:f>
        <x:v>100</x:v>
      </x:c>
      <x:c r="G6" s="7">
        <x:f>IF(E6="P0",3,IF(E6="P1",2,1))</x:f>
        <x:v>1</x:v>
      </x:c>
    </x:row>
    <x:row r="7">
      <x:c r="A7" s="2" t="inlineStr">
        <x:is>
          <x:t xml:space="preserve">Mobile Merchant — Backend %</x:t>
        </x:is>
      </x:c>
      <x:c r="B7" s="9">
        <x:f>IFERROR(SUMPRODUCT(--(FULL_STACK_FEATURE_MATRIX!$J$2:$J$45&lt;&gt;""),FULL_STACK_FEATURE_MATRIX!$F$2:$F$45)/SUMPRODUCT(--(FULL_STACK_FEATURE_MATRIX!$J$2:$J$45&lt;&gt;"")),0)</x:f>
        <x:v>44.4</x:v>
      </x:c>
      <x:c r="D7" t="str">
        <x:f>FULL_STACK_FEATURE_MATRIX!A7</x:f>
        <x:v>F-006</x:v>
      </x:c>
      <x:c r="E7" t="str">
        <x:f>FULL_STACK_FEATURE_MATRIX!V7</x:f>
        <x:v>P1</x:v>
      </x:c>
      <x:c r="F7" s="10">
        <x:f>MIN(IF(FULL_STACK_FEATURE_MATRIX!F7="",0,FULL_STACK_FEATURE_MATRIX!F7),IF(FULL_STACK_FEATURE_MATRIX!G7="",100,FULL_STACK_FEATURE_MATRIX!I7),IF(FULL_STACK_FEATURE_MATRIX!J7="",100,FULL_STACK_FEATURE_MATRIX!L7),IF(FULL_STACK_FEATURE_MATRIX!M7="",100,FULL_STACK_FEATURE_MATRIX!O7))</x:f>
        <x:v>20</x:v>
      </x:c>
      <x:c r="G7" s="7">
        <x:f>IF(E7="P0",3,IF(E7="P1",2,1))</x:f>
        <x:v>2</x:v>
      </x:c>
    </x:row>
    <x:row r="8">
      <x:c r="A8" s="2" t="inlineStr">
        <x:is>
          <x:t xml:space="preserve">Mobile Merchant — Full-Stack % (MIN)</x:t>
        </x:is>
      </x:c>
      <x:c r="B8" s="9">
        <x:f>MIN(B6,B7)</x:f>
        <x:v>32</x:v>
      </x:c>
      <x:c r="D8" t="str">
        <x:f>FULL_STACK_FEATURE_MATRIX!A8</x:f>
        <x:v>F-007</x:v>
      </x:c>
      <x:c r="E8" t="str">
        <x:f>FULL_STACK_FEATURE_MATRIX!V8</x:f>
        <x:v>P0</x:v>
      </x:c>
      <x:c r="F8" s="10">
        <x:f>MIN(IF(FULL_STACK_FEATURE_MATRIX!F8="",0,FULL_STACK_FEATURE_MATRIX!F8),IF(FULL_STACK_FEATURE_MATRIX!G8="",100,FULL_STACK_FEATURE_MATRIX!I8),IF(FULL_STACK_FEATURE_MATRIX!J8="",100,FULL_STACK_FEATURE_MATRIX!L8),IF(FULL_STACK_FEATURE_MATRIX!M8="",100,FULL_STACK_FEATURE_MATRIX!O8))</x:f>
        <x:v>0</x:v>
      </x:c>
      <x:c r="G8" s="7">
        <x:f>IF(E8="P0",3,IF(E8="P1",2,1))</x:f>
        <x:v>3</x:v>
      </x:c>
    </x:row>
    <x:row r="9">
      <x:c r="A9" s="2" t="inlineStr">
        <x:is>
          <x:t xml:space="preserve">Web Admin — Frontend %</x:t>
        </x:is>
      </x:c>
      <x:c r="B9" s="9">
        <x:f>IFERROR(SUMPRODUCT(--(FULL_STACK_FEATURE_MATRIX!$M$2:$M$45&lt;&gt;""),FULL_STACK_FEATURE_MATRIX!$O$2:$O$45)/SUMPRODUCT(--(FULL_STACK_FEATURE_MATRIX!$M$2:$M$45&lt;&gt;"")),0)</x:f>
        <x:v>28.571428571428573</x:v>
      </x:c>
      <x:c r="D9" t="str">
        <x:f>FULL_STACK_FEATURE_MATRIX!A9</x:f>
        <x:v>F-008</x:v>
      </x:c>
      <x:c r="E9" t="str">
        <x:f>FULL_STACK_FEATURE_MATRIX!V9</x:f>
        <x:v>P0</x:v>
      </x:c>
      <x:c r="F9" s="10">
        <x:f>MIN(IF(FULL_STACK_FEATURE_MATRIX!F9="",0,FULL_STACK_FEATURE_MATRIX!F9),IF(FULL_STACK_FEATURE_MATRIX!G9="",100,FULL_STACK_FEATURE_MATRIX!I9),IF(FULL_STACK_FEATURE_MATRIX!J9="",100,FULL_STACK_FEATURE_MATRIX!L9),IF(FULL_STACK_FEATURE_MATRIX!M9="",100,FULL_STACK_FEATURE_MATRIX!O9))</x:f>
        <x:v>20</x:v>
      </x:c>
      <x:c r="G9" s="7">
        <x:f>IF(E9="P0",3,IF(E9="P1",2,1))</x:f>
        <x:v>3</x:v>
      </x:c>
    </x:row>
    <x:row r="10">
      <x:c r="A10" s="2" t="inlineStr">
        <x:is>
          <x:t xml:space="preserve">Web Admin — Backend %</x:t>
        </x:is>
      </x:c>
      <x:c r="B10" s="9">
        <x:f>IFERROR(SUMPRODUCT(--(FULL_STACK_FEATURE_MATRIX!$M$2:$M$45&lt;&gt;""),FULL_STACK_FEATURE_MATRIX!$F$2:$F$45)/SUMPRODUCT(--(FULL_STACK_FEATURE_MATRIX!$M$2:$M$45&lt;&gt;"")),0)</x:f>
        <x:v>40</x:v>
      </x:c>
      <x:c r="D10" t="str">
        <x:f>FULL_STACK_FEATURE_MATRIX!A10</x:f>
        <x:v>F-009</x:v>
      </x:c>
      <x:c r="E10" t="str">
        <x:f>FULL_STACK_FEATURE_MATRIX!V10</x:f>
        <x:v>P0</x:v>
      </x:c>
      <x:c r="F10" s="10">
        <x:f>MIN(IF(FULL_STACK_FEATURE_MATRIX!F10="",0,FULL_STACK_FEATURE_MATRIX!F10),IF(FULL_STACK_FEATURE_MATRIX!G10="",100,FULL_STACK_FEATURE_MATRIX!I10),IF(FULL_STACK_FEATURE_MATRIX!J10="",100,FULL_STACK_FEATURE_MATRIX!L10),IF(FULL_STACK_FEATURE_MATRIX!M10="",100,FULL_STACK_FEATURE_MATRIX!O10))</x:f>
        <x:v>0</x:v>
      </x:c>
      <x:c r="G10" s="7">
        <x:f>IF(E10="P0",3,IF(E10="P1",2,1))</x:f>
        <x:v>3</x:v>
      </x:c>
    </x:row>
    <x:row r="11">
      <x:c r="A11" s="2" t="inlineStr">
        <x:is>
          <x:t xml:space="preserve">Web Admin — Full-Stack % (MIN)</x:t>
        </x:is>
      </x:c>
      <x:c r="B11" s="9">
        <x:f>MIN(B9,B10)</x:f>
        <x:v>28.571428571428573</x:v>
      </x:c>
      <x:c r="D11" t="str">
        <x:f>FULL_STACK_FEATURE_MATRIX!A11</x:f>
        <x:v>F-010</x:v>
      </x:c>
      <x:c r="E11" t="str">
        <x:f>FULL_STACK_FEATURE_MATRIX!V11</x:f>
        <x:v>P0</x:v>
      </x:c>
      <x:c r="F11" s="10">
        <x:f>MIN(IF(FULL_STACK_FEATURE_MATRIX!F11="",0,FULL_STACK_FEATURE_MATRIX!F11),IF(FULL_STACK_FEATURE_MATRIX!G11="",100,FULL_STACK_FEATURE_MATRIX!I11),IF(FULL_STACK_FEATURE_MATRIX!J11="",100,FULL_STACK_FEATURE_MATRIX!L11),IF(FULL_STACK_FEATURE_MATRIX!M11="",100,FULL_STACK_FEATURE_MATRIX!O11))</x:f>
        <x:v>0</x:v>
      </x:c>
      <x:c r="G11" s="7">
        <x:f>IF(E11="P0",3,IF(E11="P1",2,1))</x:f>
        <x:v>3</x:v>
      </x:c>
    </x:row>
    <x:row r="12">
      <x:c r="D12" t="str">
        <x:f>FULL_STACK_FEATURE_MATRIX!A12</x:f>
        <x:v>F-011</x:v>
      </x:c>
      <x:c r="E12" t="str">
        <x:f>FULL_STACK_FEATURE_MATRIX!V12</x:f>
        <x:v>P1</x:v>
      </x:c>
      <x:c r="F12" s="10">
        <x:f>MIN(IF(FULL_STACK_FEATURE_MATRIX!F12="",0,FULL_STACK_FEATURE_MATRIX!F12),IF(FULL_STACK_FEATURE_MATRIX!G12="",100,FULL_STACK_FEATURE_MATRIX!I12),IF(FULL_STACK_FEATURE_MATRIX!J12="",100,FULL_STACK_FEATURE_MATRIX!L12),IF(FULL_STACK_FEATURE_MATRIX!M12="",100,FULL_STACK_FEATURE_MATRIX!O12))</x:f>
        <x:v>60</x:v>
      </x:c>
      <x:c r="G12" s="7">
        <x:f>IF(E12="P0",3,IF(E12="P1",2,1))</x:f>
        <x:v>2</x:v>
      </x:c>
    </x:row>
    <x:row r="13">
      <x:c r="D13" t="str">
        <x:f>FULL_STACK_FEATURE_MATRIX!A13</x:f>
        <x:v>F-012</x:v>
      </x:c>
      <x:c r="E13" t="str">
        <x:f>FULL_STACK_FEATURE_MATRIX!V13</x:f>
        <x:v>P1</x:v>
      </x:c>
      <x:c r="F13" s="10">
        <x:f>MIN(IF(FULL_STACK_FEATURE_MATRIX!F13="",0,FULL_STACK_FEATURE_MATRIX!F13),IF(FULL_STACK_FEATURE_MATRIX!G13="",100,FULL_STACK_FEATURE_MATRIX!I13),IF(FULL_STACK_FEATURE_MATRIX!J13="",100,FULL_STACK_FEATURE_MATRIX!L13),IF(FULL_STACK_FEATURE_MATRIX!M13="",100,FULL_STACK_FEATURE_MATRIX!O13))</x:f>
        <x:v>60</x:v>
      </x:c>
      <x:c r="G13" s="7">
        <x:f>IF(E13="P0",3,IF(E13="P1",2,1))</x:f>
        <x:v>2</x:v>
      </x:c>
    </x:row>
    <x:row r="14">
      <x:c r="D14" t="str">
        <x:f>FULL_STACK_FEATURE_MATRIX!A14</x:f>
        <x:v>F-013</x:v>
      </x:c>
      <x:c r="E14" t="str">
        <x:f>FULL_STACK_FEATURE_MATRIX!V14</x:f>
        <x:v>P2</x:v>
      </x:c>
      <x:c r="F14" s="10">
        <x:f>MIN(IF(FULL_STACK_FEATURE_MATRIX!F14="",0,FULL_STACK_FEATURE_MATRIX!F14),IF(FULL_STACK_FEATURE_MATRIX!G14="",100,FULL_STACK_FEATURE_MATRIX!I14),IF(FULL_STACK_FEATURE_MATRIX!J14="",100,FULL_STACK_FEATURE_MATRIX!L14),IF(FULL_STACK_FEATURE_MATRIX!M14="",100,FULL_STACK_FEATURE_MATRIX!O14))</x:f>
        <x:v>100</x:v>
      </x:c>
      <x:c r="G14" s="7">
        <x:f>IF(E14="P0",3,IF(E14="P1",2,1))</x:f>
        <x:v>1</x:v>
      </x:c>
    </x:row>
    <x:row r="15">
      <x:c r="D15" t="str">
        <x:f>FULL_STACK_FEATURE_MATRIX!A15</x:f>
        <x:v>F-014</x:v>
      </x:c>
      <x:c r="E15" t="str">
        <x:f>FULL_STACK_FEATURE_MATRIX!V15</x:f>
        <x:v>P2</x:v>
      </x:c>
      <x:c r="F15" s="10">
        <x:f>MIN(IF(FULL_STACK_FEATURE_MATRIX!F15="",0,FULL_STACK_FEATURE_MATRIX!F15),IF(FULL_STACK_FEATURE_MATRIX!G15="",100,FULL_STACK_FEATURE_MATRIX!I15),IF(FULL_STACK_FEATURE_MATRIX!J15="",100,FULL_STACK_FEATURE_MATRIX!L15),IF(FULL_STACK_FEATURE_MATRIX!M15="",100,FULL_STACK_FEATURE_MATRIX!O15))</x:f>
        <x:v>30</x:v>
      </x:c>
      <x:c r="G15" s="7">
        <x:f>IF(E15="P0",3,IF(E15="P1",2,1))</x:f>
        <x:v>1</x:v>
      </x:c>
    </x:row>
    <x:row r="16">
      <x:c r="D16" t="str">
        <x:f>FULL_STACK_FEATURE_MATRIX!A16</x:f>
        <x:v>F-015</x:v>
      </x:c>
      <x:c r="E16" t="str">
        <x:f>FULL_STACK_FEATURE_MATRIX!V16</x:f>
        <x:v>P1</x:v>
      </x:c>
      <x:c r="F16" s="10">
        <x:f>MIN(IF(FULL_STACK_FEATURE_MATRIX!F16="",0,FULL_STACK_FEATURE_MATRIX!F16),IF(FULL_STACK_FEATURE_MATRIX!G16="",100,FULL_STACK_FEATURE_MATRIX!I16),IF(FULL_STACK_FEATURE_MATRIX!J16="",100,FULL_STACK_FEATURE_MATRIX!L16),IF(FULL_STACK_FEATURE_MATRIX!M16="",100,FULL_STACK_FEATURE_MATRIX!O16))</x:f>
        <x:v>0</x:v>
      </x:c>
      <x:c r="G16" s="7">
        <x:f>IF(E16="P0",3,IF(E16="P1",2,1))</x:f>
        <x:v>2</x:v>
      </x:c>
    </x:row>
    <x:row r="17">
      <x:c r="D17" t="str">
        <x:f>FULL_STACK_FEATURE_MATRIX!A17</x:f>
        <x:v>F-016</x:v>
      </x:c>
      <x:c r="E17" t="str">
        <x:f>FULL_STACK_FEATURE_MATRIX!V17</x:f>
        <x:v>P1</x:v>
      </x:c>
      <x:c r="F17" s="10">
        <x:f>MIN(IF(FULL_STACK_FEATURE_MATRIX!F17="",0,FULL_STACK_FEATURE_MATRIX!F17),IF(FULL_STACK_FEATURE_MATRIX!G17="",100,FULL_STACK_FEATURE_MATRIX!I17),IF(FULL_STACK_FEATURE_MATRIX!J17="",100,FULL_STACK_FEATURE_MATRIX!L17),IF(FULL_STACK_FEATURE_MATRIX!M17="",100,FULL_STACK_FEATURE_MATRIX!O17))</x:f>
        <x:v>60</x:v>
      </x:c>
      <x:c r="G17" s="7">
        <x:f>IF(E17="P0",3,IF(E17="P1",2,1))</x:f>
        <x:v>2</x:v>
      </x:c>
    </x:row>
    <x:row r="18">
      <x:c r="D18" t="str">
        <x:f>FULL_STACK_FEATURE_MATRIX!A18</x:f>
        <x:v>F-017</x:v>
      </x:c>
      <x:c r="E18" t="str">
        <x:f>FULL_STACK_FEATURE_MATRIX!V18</x:f>
        <x:v>P2</x:v>
      </x:c>
      <x:c r="F18" s="10">
        <x:f>MIN(IF(FULL_STACK_FEATURE_MATRIX!F18="",0,FULL_STACK_FEATURE_MATRIX!F18),IF(FULL_STACK_FEATURE_MATRIX!G18="",100,FULL_STACK_FEATURE_MATRIX!I18),IF(FULL_STACK_FEATURE_MATRIX!J18="",100,FULL_STACK_FEATURE_MATRIX!L18),IF(FULL_STACK_FEATURE_MATRIX!M18="",100,FULL_STACK_FEATURE_MATRIX!O18))</x:f>
        <x:v>100</x:v>
      </x:c>
      <x:c r="G18" s="7">
        <x:f>IF(E18="P0",3,IF(E18="P1",2,1))</x:f>
        <x:v>1</x:v>
      </x:c>
    </x:row>
    <x:row r="19">
      <x:c r="D19" t="str">
        <x:f>FULL_STACK_FEATURE_MATRIX!A19</x:f>
        <x:v>F-018</x:v>
      </x:c>
      <x:c r="E19" t="str">
        <x:f>FULL_STACK_FEATURE_MATRIX!V19</x:f>
        <x:v>P2</x:v>
      </x:c>
      <x:c r="F19" s="10">
        <x:f>MIN(IF(FULL_STACK_FEATURE_MATRIX!F19="",0,FULL_STACK_FEATURE_MATRIX!F19),IF(FULL_STACK_FEATURE_MATRIX!G19="",100,FULL_STACK_FEATURE_MATRIX!I19),IF(FULL_STACK_FEATURE_MATRIX!J19="",100,FULL_STACK_FEATURE_MATRIX!L19),IF(FULL_STACK_FEATURE_MATRIX!M19="",100,FULL_STACK_FEATURE_MATRIX!O19))</x:f>
        <x:v>100</x:v>
      </x:c>
      <x:c r="G19" s="7">
        <x:f>IF(E19="P0",3,IF(E19="P1",2,1))</x:f>
        <x:v>1</x:v>
      </x:c>
    </x:row>
    <x:row r="20">
      <x:c r="D20" t="str">
        <x:f>FULL_STACK_FEATURE_MATRIX!A20</x:f>
        <x:v>F-019</x:v>
      </x:c>
      <x:c r="E20" t="str">
        <x:f>FULL_STACK_FEATURE_MATRIX!V20</x:f>
        <x:v>P2</x:v>
      </x:c>
      <x:c r="F20" s="10">
        <x:f>MIN(IF(FULL_STACK_FEATURE_MATRIX!F20="",0,FULL_STACK_FEATURE_MATRIX!F20),IF(FULL_STACK_FEATURE_MATRIX!G20="",100,FULL_STACK_FEATURE_MATRIX!I20),IF(FULL_STACK_FEATURE_MATRIX!J20="",100,FULL_STACK_FEATURE_MATRIX!L20),IF(FULL_STACK_FEATURE_MATRIX!M20="",100,FULL_STACK_FEATURE_MATRIX!O20))</x:f>
        <x:v>0</x:v>
      </x:c>
      <x:c r="G20" s="7">
        <x:f>IF(E20="P0",3,IF(E20="P1",2,1))</x:f>
        <x:v>1</x:v>
      </x:c>
    </x:row>
    <x:row r="21">
      <x:c r="D21" t="str">
        <x:f>FULL_STACK_FEATURE_MATRIX!A21</x:f>
        <x:v>F-020</x:v>
      </x:c>
      <x:c r="E21" t="str">
        <x:f>FULL_STACK_FEATURE_MATRIX!V21</x:f>
        <x:v>P2</x:v>
      </x:c>
      <x:c r="F21" s="10">
        <x:f>MIN(IF(FULL_STACK_FEATURE_MATRIX!F21="",0,FULL_STACK_FEATURE_MATRIX!F21),IF(FULL_STACK_FEATURE_MATRIX!G21="",100,FULL_STACK_FEATURE_MATRIX!I21),IF(FULL_STACK_FEATURE_MATRIX!J21="",100,FULL_STACK_FEATURE_MATRIX!L21),IF(FULL_STACK_FEATURE_MATRIX!M21="",100,FULL_STACK_FEATURE_MATRIX!O21))</x:f>
        <x:v>0</x:v>
      </x:c>
      <x:c r="G21" s="7">
        <x:f>IF(E21="P0",3,IF(E21="P1",2,1))</x:f>
        <x:v>1</x:v>
      </x:c>
    </x:row>
    <x:row r="22">
      <x:c r="D22" t="str">
        <x:f>FULL_STACK_FEATURE_MATRIX!A22</x:f>
        <x:v>F-021</x:v>
      </x:c>
      <x:c r="E22" t="str">
        <x:f>FULL_STACK_FEATURE_MATRIX!V22</x:f>
        <x:v>P0</x:v>
      </x:c>
      <x:c r="F22" s="10">
        <x:f>MIN(IF(FULL_STACK_FEATURE_MATRIX!F22="",0,FULL_STACK_FEATURE_MATRIX!F22),IF(FULL_STACK_FEATURE_MATRIX!G22="",100,FULL_STACK_FEATURE_MATRIX!I22),IF(FULL_STACK_FEATURE_MATRIX!J22="",100,FULL_STACK_FEATURE_MATRIX!L22),IF(FULL_STACK_FEATURE_MATRIX!M22="",100,FULL_STACK_FEATURE_MATRIX!O22))</x:f>
        <x:v>0</x:v>
      </x:c>
      <x:c r="G22" s="7">
        <x:f>IF(E22="P0",3,IF(E22="P1",2,1))</x:f>
        <x:v>3</x:v>
      </x:c>
    </x:row>
    <x:row r="23">
      <x:c r="D23" t="str">
        <x:f>FULL_STACK_FEATURE_MATRIX!A23</x:f>
        <x:v>F-022</x:v>
      </x:c>
      <x:c r="E23" t="str">
        <x:f>FULL_STACK_FEATURE_MATRIX!V23</x:f>
        <x:v>P2</x:v>
      </x:c>
      <x:c r="F23" s="10">
        <x:f>MIN(IF(FULL_STACK_FEATURE_MATRIX!F23="",0,FULL_STACK_FEATURE_MATRIX!F23),IF(FULL_STACK_FEATURE_MATRIX!G23="",100,FULL_STACK_FEATURE_MATRIX!I23),IF(FULL_STACK_FEATURE_MATRIX!J23="",100,FULL_STACK_FEATURE_MATRIX!L23),IF(FULL_STACK_FEATURE_MATRIX!M23="",100,FULL_STACK_FEATURE_MATRIX!O23))</x:f>
        <x:v>0</x:v>
      </x:c>
      <x:c r="G23" s="7">
        <x:f>IF(E23="P0",3,IF(E23="P1",2,1))</x:f>
        <x:v>1</x:v>
      </x:c>
    </x:row>
    <x:row r="24">
      <x:c r="D24" t="str">
        <x:f>FULL_STACK_FEATURE_MATRIX!A24</x:f>
        <x:v>F-023</x:v>
      </x:c>
      <x:c r="E24" t="str">
        <x:f>FULL_STACK_FEATURE_MATRIX!V24</x:f>
        <x:v>P1</x:v>
      </x:c>
      <x:c r="F24" s="10">
        <x:f>MIN(IF(FULL_STACK_FEATURE_MATRIX!F24="",0,FULL_STACK_FEATURE_MATRIX!F24),IF(FULL_STACK_FEATURE_MATRIX!G24="",100,FULL_STACK_FEATURE_MATRIX!I24),IF(FULL_STACK_FEATURE_MATRIX!J24="",100,FULL_STACK_FEATURE_MATRIX!L24),IF(FULL_STACK_FEATURE_MATRIX!M24="",100,FULL_STACK_FEATURE_MATRIX!O24))</x:f>
        <x:v>0</x:v>
      </x:c>
      <x:c r="G24" s="7">
        <x:f>IF(E24="P0",3,IF(E24="P1",2,1))</x:f>
        <x:v>2</x:v>
      </x:c>
    </x:row>
    <x:row r="25">
      <x:c r="D25" t="str">
        <x:f>FULL_STACK_FEATURE_MATRIX!A25</x:f>
        <x:v>F-024</x:v>
      </x:c>
      <x:c r="E25" t="str">
        <x:f>FULL_STACK_FEATURE_MATRIX!V25</x:f>
        <x:v>P2</x:v>
      </x:c>
      <x:c r="F25" s="10">
        <x:f>MIN(IF(FULL_STACK_FEATURE_MATRIX!F25="",0,FULL_STACK_FEATURE_MATRIX!F25),IF(FULL_STACK_FEATURE_MATRIX!G25="",100,FULL_STACK_FEATURE_MATRIX!I25),IF(FULL_STACK_FEATURE_MATRIX!J25="",100,FULL_STACK_FEATURE_MATRIX!L25),IF(FULL_STACK_FEATURE_MATRIX!M25="",100,FULL_STACK_FEATURE_MATRIX!O25))</x:f>
        <x:v>0</x:v>
      </x:c>
      <x:c r="G25" s="7">
        <x:f>IF(E25="P0",3,IF(E25="P1",2,1))</x:f>
        <x:v>1</x:v>
      </x:c>
    </x:row>
    <x:row r="26">
      <x:c r="D26" t="str">
        <x:f>FULL_STACK_FEATURE_MATRIX!A26</x:f>
        <x:v>F-025</x:v>
      </x:c>
      <x:c r="E26" t="str">
        <x:f>FULL_STACK_FEATURE_MATRIX!V26</x:f>
        <x:v>P2</x:v>
      </x:c>
      <x:c r="F26" s="10">
        <x:f>MIN(IF(FULL_STACK_FEATURE_MATRIX!F26="",0,FULL_STACK_FEATURE_MATRIX!F26),IF(FULL_STACK_FEATURE_MATRIX!G26="",100,FULL_STACK_FEATURE_MATRIX!I26),IF(FULL_STACK_FEATURE_MATRIX!J26="",100,FULL_STACK_FEATURE_MATRIX!L26),IF(FULL_STACK_FEATURE_MATRIX!M26="",100,FULL_STACK_FEATURE_MATRIX!O26))</x:f>
        <x:v>30</x:v>
      </x:c>
      <x:c r="G26" s="7">
        <x:f>IF(E26="P0",3,IF(E26="P1",2,1))</x:f>
        <x:v>1</x:v>
      </x:c>
    </x:row>
    <x:row r="27">
      <x:c r="D27" t="str">
        <x:f>FULL_STACK_FEATURE_MATRIX!A27</x:f>
        <x:v>F-026</x:v>
      </x:c>
      <x:c r="E27" t="str">
        <x:f>FULL_STACK_FEATURE_MATRIX!V27</x:f>
        <x:v>P2</x:v>
      </x:c>
      <x:c r="F27" s="10">
        <x:f>MIN(IF(FULL_STACK_FEATURE_MATRIX!F27="",0,FULL_STACK_FEATURE_MATRIX!F27),IF(FULL_STACK_FEATURE_MATRIX!G27="",100,FULL_STACK_FEATURE_MATRIX!I27),IF(FULL_STACK_FEATURE_MATRIX!J27="",100,FULL_STACK_FEATURE_MATRIX!L27),IF(FULL_STACK_FEATURE_MATRIX!M27="",100,FULL_STACK_FEATURE_MATRIX!O27))</x:f>
        <x:v>10</x:v>
      </x:c>
      <x:c r="G27" s="7">
        <x:f>IF(E27="P0",3,IF(E27="P1",2,1))</x:f>
        <x:v>1</x:v>
      </x:c>
    </x:row>
    <x:row r="28">
      <x:c r="D28" t="str">
        <x:f>FULL_STACK_FEATURE_MATRIX!A28</x:f>
        <x:v>F-027</x:v>
      </x:c>
      <x:c r="E28" t="str">
        <x:f>FULL_STACK_FEATURE_MATRIX!V28</x:f>
        <x:v>P0</x:v>
      </x:c>
      <x:c r="F28" s="10">
        <x:f>MIN(IF(FULL_STACK_FEATURE_MATRIX!F28="",0,FULL_STACK_FEATURE_MATRIX!F28),IF(FULL_STACK_FEATURE_MATRIX!G28="",100,FULL_STACK_FEATURE_MATRIX!I28),IF(FULL_STACK_FEATURE_MATRIX!J28="",100,FULL_STACK_FEATURE_MATRIX!L28),IF(FULL_STACK_FEATURE_MATRIX!M28="",100,FULL_STACK_FEATURE_MATRIX!O28))</x:f>
        <x:v>0</x:v>
      </x:c>
      <x:c r="G28" s="7">
        <x:f>IF(E28="P0",3,IF(E28="P1",2,1))</x:f>
        <x:v>3</x:v>
      </x:c>
    </x:row>
    <x:row r="29">
      <x:c r="D29" t="str">
        <x:f>FULL_STACK_FEATURE_MATRIX!A29</x:f>
        <x:v>F-028</x:v>
      </x:c>
      <x:c r="E29" t="str">
        <x:f>FULL_STACK_FEATURE_MATRIX!V29</x:f>
        <x:v>P0</x:v>
      </x:c>
      <x:c r="F29" s="10">
        <x:f>MIN(IF(FULL_STACK_FEATURE_MATRIX!F29="",0,FULL_STACK_FEATURE_MATRIX!F29),IF(FULL_STACK_FEATURE_MATRIX!G29="",100,FULL_STACK_FEATURE_MATRIX!I29),IF(FULL_STACK_FEATURE_MATRIX!J29="",100,FULL_STACK_FEATURE_MATRIX!L29),IF(FULL_STACK_FEATURE_MATRIX!M29="",100,FULL_STACK_FEATURE_MATRIX!O29))</x:f>
        <x:v>30</x:v>
      </x:c>
      <x:c r="G29" s="7">
        <x:f>IF(E29="P0",3,IF(E29="P1",2,1))</x:f>
        <x:v>3</x:v>
      </x:c>
    </x:row>
    <x:row r="30">
      <x:c r="D30" t="str">
        <x:f>FULL_STACK_FEATURE_MATRIX!A30</x:f>
        <x:v>F-029</x:v>
      </x:c>
      <x:c r="E30" t="str">
        <x:f>FULL_STACK_FEATURE_MATRIX!V30</x:f>
        <x:v>P2</x:v>
      </x:c>
      <x:c r="F30" s="10">
        <x:f>MIN(IF(FULL_STACK_FEATURE_MATRIX!F30="",0,FULL_STACK_FEATURE_MATRIX!F30),IF(FULL_STACK_FEATURE_MATRIX!G30="",100,FULL_STACK_FEATURE_MATRIX!I30),IF(FULL_STACK_FEATURE_MATRIX!J30="",100,FULL_STACK_FEATURE_MATRIX!L30),IF(FULL_STACK_FEATURE_MATRIX!M30="",100,FULL_STACK_FEATURE_MATRIX!O30))</x:f>
        <x:v>0</x:v>
      </x:c>
      <x:c r="G30" s="7">
        <x:f>IF(E30="P0",3,IF(E30="P1",2,1))</x:f>
        <x:v>1</x:v>
      </x:c>
    </x:row>
    <x:row r="31">
      <x:c r="D31" t="str">
        <x:f>FULL_STACK_FEATURE_MATRIX!A31</x:f>
        <x:v>F-030</x:v>
      </x:c>
      <x:c r="E31" t="str">
        <x:f>FULL_STACK_FEATURE_MATRIX!V31</x:f>
        <x:v>P2</x:v>
      </x:c>
      <x:c r="F31" s="10">
        <x:f>MIN(IF(FULL_STACK_FEATURE_MATRIX!F31="",0,FULL_STACK_FEATURE_MATRIX!F31),IF(FULL_STACK_FEATURE_MATRIX!G31="",100,FULL_STACK_FEATURE_MATRIX!I31),IF(FULL_STACK_FEATURE_MATRIX!J31="",100,FULL_STACK_FEATURE_MATRIX!L31),IF(FULL_STACK_FEATURE_MATRIX!M31="",100,FULL_STACK_FEATURE_MATRIX!O31))</x:f>
        <x:v>0</x:v>
      </x:c>
      <x:c r="G31" s="7">
        <x:f>IF(E31="P0",3,IF(E31="P1",2,1))</x:f>
        <x:v>1</x:v>
      </x:c>
    </x:row>
    <x:row r="32">
      <x:c r="D32" t="str">
        <x:f>FULL_STACK_FEATURE_MATRIX!A32</x:f>
        <x:v>F-031</x:v>
      </x:c>
      <x:c r="E32" t="str">
        <x:f>FULL_STACK_FEATURE_MATRIX!V32</x:f>
        <x:v>P1</x:v>
      </x:c>
      <x:c r="F32" s="10">
        <x:f>MIN(IF(FULL_STACK_FEATURE_MATRIX!F32="",0,FULL_STACK_FEATURE_MATRIX!F32),IF(FULL_STACK_FEATURE_MATRIX!G32="",100,FULL_STACK_FEATURE_MATRIX!I32),IF(FULL_STACK_FEATURE_MATRIX!J32="",100,FULL_STACK_FEATURE_MATRIX!L32),IF(FULL_STACK_FEATURE_MATRIX!M32="",100,FULL_STACK_FEATURE_MATRIX!O32))</x:f>
        <x:v>0</x:v>
      </x:c>
      <x:c r="G32" s="7">
        <x:f>IF(E32="P0",3,IF(E32="P1",2,1))</x:f>
        <x:v>2</x:v>
      </x:c>
    </x:row>
    <x:row r="33">
      <x:c r="D33" t="str">
        <x:f>FULL_STACK_FEATURE_MATRIX!A33</x:f>
        <x:v>F-032</x:v>
      </x:c>
      <x:c r="E33" t="str">
        <x:f>FULL_STACK_FEATURE_MATRIX!V33</x:f>
        <x:v>P1</x:v>
      </x:c>
      <x:c r="F33" s="10">
        <x:f>MIN(IF(FULL_STACK_FEATURE_MATRIX!F33="",0,FULL_STACK_FEATURE_MATRIX!F33),IF(FULL_STACK_FEATURE_MATRIX!G33="",100,FULL_STACK_FEATURE_MATRIX!I33),IF(FULL_STACK_FEATURE_MATRIX!J33="",100,FULL_STACK_FEATURE_MATRIX!L33),IF(FULL_STACK_FEATURE_MATRIX!M33="",100,FULL_STACK_FEATURE_MATRIX!O33))</x:f>
        <x:v>0</x:v>
      </x:c>
      <x:c r="G33" s="7">
        <x:f>IF(E33="P0",3,IF(E33="P1",2,1))</x:f>
        <x:v>2</x:v>
      </x:c>
    </x:row>
    <x:row r="34">
      <x:c r="D34" t="str">
        <x:f>FULL_STACK_FEATURE_MATRIX!A34</x:f>
        <x:v>F-033</x:v>
      </x:c>
      <x:c r="E34" t="str">
        <x:f>FULL_STACK_FEATURE_MATRIX!V34</x:f>
        <x:v>P1</x:v>
      </x:c>
      <x:c r="F34" s="10">
        <x:f>MIN(IF(FULL_STACK_FEATURE_MATRIX!F34="",0,FULL_STACK_FEATURE_MATRIX!F34),IF(FULL_STACK_FEATURE_MATRIX!G34="",100,FULL_STACK_FEATURE_MATRIX!I34),IF(FULL_STACK_FEATURE_MATRIX!J34="",100,FULL_STACK_FEATURE_MATRIX!L34),IF(FULL_STACK_FEATURE_MATRIX!M34="",100,FULL_STACK_FEATURE_MATRIX!O34))</x:f>
        <x:v>10</x:v>
      </x:c>
      <x:c r="G34" s="7">
        <x:f>IF(E34="P0",3,IF(E34="P1",2,1))</x:f>
        <x:v>2</x:v>
      </x:c>
    </x:row>
    <x:row r="35">
      <x:c r="D35" t="str">
        <x:f>FULL_STACK_FEATURE_MATRIX!A35</x:f>
        <x:v>F-034</x:v>
      </x:c>
      <x:c r="E35" t="str">
        <x:f>FULL_STACK_FEATURE_MATRIX!V35</x:f>
        <x:v>P1</x:v>
      </x:c>
      <x:c r="F35" s="10">
        <x:f>MIN(IF(FULL_STACK_FEATURE_MATRIX!F35="",0,FULL_STACK_FEATURE_MATRIX!F35),IF(FULL_STACK_FEATURE_MATRIX!G35="",100,FULL_STACK_FEATURE_MATRIX!I35),IF(FULL_STACK_FEATURE_MATRIX!J35="",100,FULL_STACK_FEATURE_MATRIX!L35),IF(FULL_STACK_FEATURE_MATRIX!M35="",100,FULL_STACK_FEATURE_MATRIX!O35))</x:f>
        <x:v>0</x:v>
      </x:c>
      <x:c r="G35" s="7">
        <x:f>IF(E35="P0",3,IF(E35="P1",2,1))</x:f>
        <x:v>2</x:v>
      </x:c>
    </x:row>
    <x:row r="36">
      <x:c r="D36" t="str">
        <x:f>FULL_STACK_FEATURE_MATRIX!A36</x:f>
        <x:v>F-035</x:v>
      </x:c>
      <x:c r="E36" t="str">
        <x:f>FULL_STACK_FEATURE_MATRIX!V36</x:f>
        <x:v>P1</x:v>
      </x:c>
      <x:c r="F36" s="10">
        <x:f>MIN(IF(FULL_STACK_FEATURE_MATRIX!F36="",0,FULL_STACK_FEATURE_MATRIX!F36),IF(FULL_STACK_FEATURE_MATRIX!G36="",100,FULL_STACK_FEATURE_MATRIX!I36),IF(FULL_STACK_FEATURE_MATRIX!J36="",100,FULL_STACK_FEATURE_MATRIX!L36),IF(FULL_STACK_FEATURE_MATRIX!M36="",100,FULL_STACK_FEATURE_MATRIX!O36))</x:f>
        <x:v>40</x:v>
      </x:c>
      <x:c r="G36" s="7">
        <x:f>IF(E36="P0",3,IF(E36="P1",2,1))</x:f>
        <x:v>2</x:v>
      </x:c>
    </x:row>
    <x:row r="37">
      <x:c r="D37" t="str">
        <x:f>FULL_STACK_FEATURE_MATRIX!A37</x:f>
        <x:v>F-036</x:v>
      </x:c>
      <x:c r="E37" t="str">
        <x:f>FULL_STACK_FEATURE_MATRIX!V37</x:f>
        <x:v>P1</x:v>
      </x:c>
      <x:c r="F37" s="10">
        <x:f>MIN(IF(FULL_STACK_FEATURE_MATRIX!F37="",0,FULL_STACK_FEATURE_MATRIX!F37),IF(FULL_STACK_FEATURE_MATRIX!G37="",100,FULL_STACK_FEATURE_MATRIX!I37),IF(FULL_STACK_FEATURE_MATRIX!J37="",100,FULL_STACK_FEATURE_MATRIX!L37),IF(FULL_STACK_FEATURE_MATRIX!M37="",100,FULL_STACK_FEATURE_MATRIX!O37))</x:f>
        <x:v>0</x:v>
      </x:c>
      <x:c r="G37" s="7">
        <x:f>IF(E37="P0",3,IF(E37="P1",2,1))</x:f>
        <x:v>2</x:v>
      </x:c>
    </x:row>
    <x:row r="38">
      <x:c r="D38" t="str">
        <x:f>FULL_STACK_FEATURE_MATRIX!A38</x:f>
        <x:v>F-037</x:v>
      </x:c>
      <x:c r="E38" t="str">
        <x:f>FULL_STACK_FEATURE_MATRIX!V38</x:f>
        <x:v>P1</x:v>
      </x:c>
      <x:c r="F38" s="10">
        <x:f>MIN(IF(FULL_STACK_FEATURE_MATRIX!F38="",0,FULL_STACK_FEATURE_MATRIX!F38),IF(FULL_STACK_FEATURE_MATRIX!G38="",100,FULL_STACK_FEATURE_MATRIX!I38),IF(FULL_STACK_FEATURE_MATRIX!J38="",100,FULL_STACK_FEATURE_MATRIX!L38),IF(FULL_STACK_FEATURE_MATRIX!M38="",100,FULL_STACK_FEATURE_MATRIX!O38))</x:f>
        <x:v>20</x:v>
      </x:c>
      <x:c r="G38" s="7">
        <x:f>IF(E38="P0",3,IF(E38="P1",2,1))</x:f>
        <x:v>2</x:v>
      </x:c>
    </x:row>
    <x:row r="39">
      <x:c r="D39" t="str">
        <x:f>FULL_STACK_FEATURE_MATRIX!A39</x:f>
        <x:v>F-038</x:v>
      </x:c>
      <x:c r="E39" t="str">
        <x:f>FULL_STACK_FEATURE_MATRIX!V39</x:f>
        <x:v>P2</x:v>
      </x:c>
      <x:c r="F39" s="10">
        <x:f>MIN(IF(FULL_STACK_FEATURE_MATRIX!F39="",0,FULL_STACK_FEATURE_MATRIX!F39),IF(FULL_STACK_FEATURE_MATRIX!G39="",100,FULL_STACK_FEATURE_MATRIX!I39),IF(FULL_STACK_FEATURE_MATRIX!J39="",100,FULL_STACK_FEATURE_MATRIX!L39),IF(FULL_STACK_FEATURE_MATRIX!M39="",100,FULL_STACK_FEATURE_MATRIX!O39))</x:f>
        <x:v>0</x:v>
      </x:c>
      <x:c r="G39" s="7">
        <x:f>IF(E39="P0",3,IF(E39="P1",2,1))</x:f>
        <x:v>1</x:v>
      </x:c>
    </x:row>
    <x:row r="40">
      <x:c r="D40" t="str">
        <x:f>FULL_STACK_FEATURE_MATRIX!A40</x:f>
        <x:v>F-039</x:v>
      </x:c>
      <x:c r="E40" t="str">
        <x:f>FULL_STACK_FEATURE_MATRIX!V40</x:f>
        <x:v>P2</x:v>
      </x:c>
      <x:c r="F40" s="10">
        <x:f>MIN(IF(FULL_STACK_FEATURE_MATRIX!F40="",0,FULL_STACK_FEATURE_MATRIX!F40),IF(FULL_STACK_FEATURE_MATRIX!G40="",100,FULL_STACK_FEATURE_MATRIX!I40),IF(FULL_STACK_FEATURE_MATRIX!J40="",100,FULL_STACK_FEATURE_MATRIX!L40),IF(FULL_STACK_FEATURE_MATRIX!M40="",100,FULL_STACK_FEATURE_MATRIX!O40))</x:f>
        <x:v>0</x:v>
      </x:c>
      <x:c r="G40" s="7">
        <x:f>IF(E40="P0",3,IF(E40="P1",2,1))</x:f>
        <x:v>1</x:v>
      </x:c>
    </x:row>
    <x:row r="41">
      <x:c r="D41" t="str">
        <x:f>FULL_STACK_FEATURE_MATRIX!A41</x:f>
        <x:v>F-040</x:v>
      </x:c>
      <x:c r="E41" t="str">
        <x:f>FULL_STACK_FEATURE_MATRIX!V41</x:f>
        <x:v>P0</x:v>
      </x:c>
      <x:c r="F41" s="10">
        <x:f>MIN(IF(FULL_STACK_FEATURE_MATRIX!F41="",0,FULL_STACK_FEATURE_MATRIX!F41),IF(FULL_STACK_FEATURE_MATRIX!G41="",100,FULL_STACK_FEATURE_MATRIX!I41),IF(FULL_STACK_FEATURE_MATRIX!J41="",100,FULL_STACK_FEATURE_MATRIX!L41),IF(FULL_STACK_FEATURE_MATRIX!M41="",100,FULL_STACK_FEATURE_MATRIX!O41))</x:f>
        <x:v>20</x:v>
      </x:c>
      <x:c r="G41" s="7">
        <x:f>IF(E41="P0",3,IF(E41="P1",2,1))</x:f>
        <x:v>3</x:v>
      </x:c>
    </x:row>
    <x:row r="42">
      <x:c r="D42" t="str">
        <x:f>FULL_STACK_FEATURE_MATRIX!A42</x:f>
        <x:v>F-041</x:v>
      </x:c>
      <x:c r="E42" t="str">
        <x:f>FULL_STACK_FEATURE_MATRIX!V42</x:f>
        <x:v>P2</x:v>
      </x:c>
      <x:c r="F42" s="10">
        <x:f>MIN(IF(FULL_STACK_FEATURE_MATRIX!F42="",0,FULL_STACK_FEATURE_MATRIX!F42),IF(FULL_STACK_FEATURE_MATRIX!G42="",100,FULL_STACK_FEATURE_MATRIX!I42),IF(FULL_STACK_FEATURE_MATRIX!J42="",100,FULL_STACK_FEATURE_MATRIX!L42),IF(FULL_STACK_FEATURE_MATRIX!M42="",100,FULL_STACK_FEATURE_MATRIX!O42))</x:f>
        <x:v>0</x:v>
      </x:c>
      <x:c r="G42" s="7">
        <x:f>IF(E42="P0",3,IF(E42="P1",2,1))</x:f>
        <x:v>1</x:v>
      </x:c>
    </x:row>
    <x:row r="43">
      <x:c r="D43" t="str">
        <x:f>FULL_STACK_FEATURE_MATRIX!A43</x:f>
        <x:v>F-042</x:v>
      </x:c>
      <x:c r="E43" t="str">
        <x:f>FULL_STACK_FEATURE_MATRIX!V43</x:f>
        <x:v>P2</x:v>
      </x:c>
      <x:c r="F43" s="10">
        <x:f>MIN(IF(FULL_STACK_FEATURE_MATRIX!F43="",0,FULL_STACK_FEATURE_MATRIX!F43),IF(FULL_STACK_FEATURE_MATRIX!G43="",100,FULL_STACK_FEATURE_MATRIX!I43),IF(FULL_STACK_FEATURE_MATRIX!J43="",100,FULL_STACK_FEATURE_MATRIX!L43),IF(FULL_STACK_FEATURE_MATRIX!M43="",100,FULL_STACK_FEATURE_MATRIX!O43))</x:f>
        <x:v>0</x:v>
      </x:c>
      <x:c r="G43" s="7">
        <x:f>IF(E43="P0",3,IF(E43="P1",2,1))</x:f>
        <x:v>1</x:v>
      </x:c>
    </x:row>
    <x:row r="44">
      <x:c r="D44" t="str">
        <x:f>FULL_STACK_FEATURE_MATRIX!A44</x:f>
        <x:v>F-043</x:v>
      </x:c>
      <x:c r="E44" t="str">
        <x:f>FULL_STACK_FEATURE_MATRIX!V44</x:f>
        <x:v>P2</x:v>
      </x:c>
      <x:c r="F44" s="10">
        <x:f>MIN(IF(FULL_STACK_FEATURE_MATRIX!F44="",0,FULL_STACK_FEATURE_MATRIX!F44),IF(FULL_STACK_FEATURE_MATRIX!G44="",100,FULL_STACK_FEATURE_MATRIX!I44),IF(FULL_STACK_FEATURE_MATRIX!J44="",100,FULL_STACK_FEATURE_MATRIX!L44),IF(FULL_STACK_FEATURE_MATRIX!M44="",100,FULL_STACK_FEATURE_MATRIX!O44))</x:f>
        <x:v>0</x:v>
      </x:c>
      <x:c r="G44" s="7">
        <x:f>IF(E44="P0",3,IF(E44="P1",2,1))</x:f>
        <x:v>1</x:v>
      </x:c>
    </x:row>
    <x:row r="45">
      <x:c r="D45" t="str">
        <x:f>FULL_STACK_FEATURE_MATRIX!A45</x:f>
        <x:v>F-044</x:v>
      </x:c>
      <x:c r="E45" t="str">
        <x:f>FULL_STACK_FEATURE_MATRIX!V45</x:f>
        <x:v>P2</x:v>
      </x:c>
      <x:c r="F45" s="10">
        <x:f>MIN(IF(FULL_STACK_FEATURE_MATRIX!F45="",0,FULL_STACK_FEATURE_MATRIX!F45),IF(FULL_STACK_FEATURE_MATRIX!G45="",100,FULL_STACK_FEATURE_MATRIX!I45),IF(FULL_STACK_FEATURE_MATRIX!J45="",100,FULL_STACK_FEATURE_MATRIX!L45),IF(FULL_STACK_FEATURE_MATRIX!M45="",100,FULL_STACK_FEATURE_MATRIX!O45))</x:f>
        <x:v>100</x:v>
      </x:c>
      <x:c r="G45" s="7">
        <x:f>IF(E45="P0",3,IF(E45="P1",2,1))</x:f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customWidth="1"/>
    <x:col min="2" max="2" width="13.199999809265137" customWidth="1"/>
    <x:col min="3" max="3" width="14.300000190734863" customWidth="1"/>
    <x:col min="4" max="4" width="12.100000381469727" customWidth="1"/>
    <x:col min="5" max="5" width="12.100000381469727" customWidth="1"/>
    <x:col min="6" max="6" width="33" customWidth="1"/>
  </x:cols>
  <x:sheetData>
    <x:row r="1" ht="28" customHeight="1">
      <x:c r="A1" s="1" t="inlineStr">
        <x:is>
          <x:t xml:space="preserve">Feature_ID</x:t>
        </x:is>
      </x:c>
      <x:c r="B1" s="1" t="inlineStr">
        <x:is>
          <x:t xml:space="preserve">Feature_Name</x:t>
        </x:is>
      </x:c>
      <x:c r="C1" s="1" t="inlineStr">
        <x:is>
          <x:t xml:space="preserve">Missing_Layer</x:t>
        </x:is>
      </x:c>
      <x:c r="D1" s="1" t="inlineStr">
        <x:is>
          <x:t xml:space="preserve">Why_Missing</x:t>
        </x:is>
      </x:c>
      <x:c r="E1" s="1" t="inlineStr">
        <x:is>
          <x:t xml:space="preserve">Risk_Impact</x:t>
        </x:is>
      </x:c>
      <x:c r="F1" s="1" t="inlineStr">
        <x:is>
          <x:t xml:space="preserve">Must_Be_Done_Before_Production</x:t>
        </x:is>
      </x:c>
    </x:row>
    <x:row r="2">
      <x:c r="A2" s="2" t="inlineStr">
        <x:is>
          <x:t xml:space="preserve">F-006</x:t>
        </x:is>
      </x:c>
      <x:c r="B2" s="2" t="inlineStr">
        <x:is>
          <x:t xml:space="preserve">Subscription enforcement at gates (QR gen / offer create / redemption)</x:t>
        </x:is>
      </x:c>
      <x:c r="C2" s="2" t="inlineStr">
        <x:is>
          <x:t xml:space="preserve">Mobile</x:t>
        </x:is>
      </x:c>
      <x:c r="D2" s="2" t="inlineStr">
        <x:is>
          <x:t xml:space="preserve">Mobile Customer gap: Backend enforces subscription checks, but customer/merchant UIs do not gate or show clear expiry errors.</x:t>
        </x:is>
      </x:c>
      <x:c r="E2" s="2" t="inlineStr">
        <x:is>
          <x:t xml:space="preserve">Medium</x:t>
        </x:is>
      </x:c>
      <x:c r="F2" s="2" t="inlineStr">
        <x:is>
          <x:t xml:space="preserve">YES</x:t>
        </x:is>
      </x:c>
    </x:row>
    <x:row r="3">
      <x:c r="A3" s="2" t="inlineStr">
        <x:is>
          <x:t xml:space="preserve">F-006</x:t>
        </x:is>
      </x:c>
      <x:c r="B3" s="2" t="inlineStr">
        <x:is>
          <x:t xml:space="preserve">Subscription enforcement at gates (QR gen / offer create / redemption)</x:t>
        </x:is>
      </x:c>
      <x:c r="C3" s="2" t="inlineStr">
        <x:is>
          <x:t xml:space="preserve">Mobile</x:t>
        </x:is>
      </x:c>
      <x:c r="D3" s="2" t="inlineStr">
        <x:is>
          <x:t xml:space="preserve">Mobile Merchant gap: Backend enforces subscription checks, but customer/merchant UIs do not gate or show clear expiry errors.</x:t>
        </x:is>
      </x:c>
      <x:c r="E3" s="2" t="inlineStr">
        <x:is>
          <x:t xml:space="preserve">Medium</x:t>
        </x:is>
      </x:c>
      <x:c r="F3" s="2" t="inlineStr">
        <x:is>
          <x:t xml:space="preserve">YES</x:t>
        </x:is>
      </x:c>
    </x:row>
    <x:row r="4">
      <x:c r="A4" s="2" t="inlineStr">
        <x:is>
          <x:t xml:space="preserve">F-006</x:t>
        </x:is>
      </x:c>
      <x:c r="B4" s="2" t="inlineStr">
        <x:is>
          <x:t xml:space="preserve">Subscription enforcement at gates (QR gen / offer create / redemption)</x:t>
        </x:is>
      </x:c>
      <x:c r="C4" s="2" t="inlineStr">
        <x:is>
          <x:t xml:space="preserve">Web</x:t>
        </x:is>
      </x:c>
      <x:c r="D4" s="2" t="inlineStr">
        <x:is>
          <x:t xml:space="preserve">Web Admin gap: Backend enforces subscription checks, but customer/merchant UIs do not gate or show clear expiry errors.</x:t>
        </x:is>
      </x:c>
      <x:c r="E4" s="2" t="inlineStr">
        <x:is>
          <x:t xml:space="preserve">Medium</x:t>
        </x:is>
      </x:c>
      <x:c r="F4" s="2" t="inlineStr">
        <x:is>
          <x:t xml:space="preserve">YES</x:t>
        </x:is>
      </x:c>
    </x:row>
    <x:row r="5">
      <x:c r="A5" s="2" t="inlineStr">
        <x:is>
          <x:t xml:space="preserve">F-007</x:t>
        </x:is>
      </x:c>
      <x:c r="B5" s="2" t="inlineStr">
        <x:is>
          <x:t xml:space="preserve">Subscription payments (Stripe) enabled + deployed</x:t>
        </x:is>
      </x:c>
      <x:c r="C5" s="2" t="inlineStr">
        <x:is>
          <x:t xml:space="preserve">Backend</x:t>
        </x:is>
      </x:c>
      <x:c r="D5" s="2" t="inlineStr">
        <x:is>
          <x:t xml:space="preserve">Stripe disabled (STRIPE_ENABLED=0); no mobile payment UI; no payment method storage.</x:t>
        </x:is>
      </x:c>
      <x:c r="E5" s="2" t="inlineStr">
        <x:is>
          <x:t xml:space="preserve">High</x:t>
        </x:is>
      </x:c>
      <x:c r="F5" s="2" t="inlineStr">
        <x:is>
          <x:t xml:space="preserve">YES</x:t>
        </x:is>
      </x:c>
    </x:row>
    <x:row r="6">
      <x:c r="A6" s="2" t="inlineStr">
        <x:is>
          <x:t xml:space="preserve">F-007</x:t>
        </x:is>
      </x:c>
      <x:c r="B6" s="2" t="inlineStr">
        <x:is>
          <x:t xml:space="preserve">Subscription payments (Stripe) enabled + deployed</x:t>
        </x:is>
      </x:c>
      <x:c r="C6" s="2" t="inlineStr">
        <x:is>
          <x:t xml:space="preserve">Mobile</x:t>
        </x:is>
      </x:c>
      <x:c r="D6" s="2" t="inlineStr">
        <x:is>
          <x:t xml:space="preserve">Mobile Customer gap: Stripe disabled (STRIPE_ENABLED=0); no mobile payment UI; no payment method storage.</x:t>
        </x:is>
      </x:c>
      <x:c r="E6" s="2" t="inlineStr">
        <x:is>
          <x:t xml:space="preserve">High</x:t>
        </x:is>
      </x:c>
      <x:c r="F6" s="2" t="inlineStr">
        <x:is>
          <x:t xml:space="preserve">YES</x:t>
        </x:is>
      </x:c>
    </x:row>
    <x:row r="7">
      <x:c r="A7" s="2" t="inlineStr">
        <x:is>
          <x:t xml:space="preserve">F-007</x:t>
        </x:is>
      </x:c>
      <x:c r="B7" s="2" t="inlineStr">
        <x:is>
          <x:t xml:space="preserve">Subscription payments (Stripe) enabled + deployed</x:t>
        </x:is>
      </x:c>
      <x:c r="C7" s="2" t="inlineStr">
        <x:is>
          <x:t xml:space="preserve">Mobile</x:t>
        </x:is>
      </x:c>
      <x:c r="D7" s="2" t="inlineStr">
        <x:is>
          <x:t xml:space="preserve">Mobile Merchant gap: Stripe disabled (STRIPE_ENABLED=0); no mobile payment UI; no payment method storage.</x:t>
        </x:is>
      </x:c>
      <x:c r="E7" s="2" t="inlineStr">
        <x:is>
          <x:t xml:space="preserve">High</x:t>
        </x:is>
      </x:c>
      <x:c r="F7" s="2" t="inlineStr">
        <x:is>
          <x:t xml:space="preserve">YES</x:t>
        </x:is>
      </x:c>
    </x:row>
    <x:row r="8">
      <x:c r="A8" s="2" t="inlineStr">
        <x:is>
          <x:t xml:space="preserve">F-007</x:t>
        </x:is>
      </x:c>
      <x:c r="B8" s="2" t="inlineStr">
        <x:is>
          <x:t xml:space="preserve">Subscription payments (Stripe) enabled + deployed</x:t>
        </x:is>
      </x:c>
      <x:c r="C8" s="2" t="inlineStr">
        <x:is>
          <x:t xml:space="preserve">Web</x:t>
        </x:is>
      </x:c>
      <x:c r="D8" s="2" t="inlineStr">
        <x:is>
          <x:t xml:space="preserve">Web Admin gap: Stripe disabled (STRIPE_ENABLED=0); no mobile payment UI; no payment method storage.</x:t>
        </x:is>
      </x:c>
      <x:c r="E8" s="2" t="inlineStr">
        <x:is>
          <x:t xml:space="preserve">High</x:t>
        </x:is>
      </x:c>
      <x:c r="F8" s="2" t="inlineStr">
        <x:is>
          <x:t xml:space="preserve">YES</x:t>
        </x:is>
      </x:c>
    </x:row>
    <x:row r="9">
      <x:c r="A9" s="2" t="inlineStr">
        <x:is>
          <x:t xml:space="preserve">F-008</x:t>
        </x:is>
      </x:c>
      <x:c r="B9" s="2" t="inlineStr">
        <x:is>
          <x:t xml:space="preserve">Payment webhook handlers working in production</x:t>
        </x:is>
      </x:c>
      <x:c r="C9" s="2" t="inlineStr">
        <x:is>
          <x:t xml:space="preserve">Backend</x:t>
        </x:is>
      </x:c>
      <x:c r="D9" s="2" t="inlineStr">
        <x:is>
          <x:t xml:space="preserve">Webhook handlers exist but commented/unfinished; required IAM/permissions not granted.</x:t>
        </x:is>
      </x:c>
      <x:c r="E9" s="2" t="inlineStr">
        <x:is>
          <x:t xml:space="preserve">High</x:t>
        </x:is>
      </x:c>
      <x:c r="F9" s="2" t="inlineStr">
        <x:is>
          <x:t xml:space="preserve">YES</x:t>
        </x:is>
      </x:c>
    </x:row>
    <x:row r="10">
      <x:c r="A10" s="2" t="inlineStr">
        <x:is>
          <x:t xml:space="preserve">F-009</x:t>
        </x:is>
      </x:c>
      <x:c r="B10" s="2" t="inlineStr">
        <x:is>
          <x:t xml:space="preserve">Subscription auto-renewal (real charge, not simulated)</x:t>
        </x:is>
      </x:c>
      <x:c r="C10" s="2" t="inlineStr">
        <x:is>
          <x:t xml:space="preserve">Backend</x:t>
        </x:is>
      </x:c>
      <x:c r="D10" s="2" t="inlineStr">
        <x:is>
          <x:t xml:space="preserve">Auto-renewal scheduled but disabled; TODO payment processing; simulated success.</x:t>
        </x:is>
      </x:c>
      <x:c r="E10" s="2" t="inlineStr">
        <x:is>
          <x:t xml:space="preserve">High</x:t>
        </x:is>
      </x:c>
      <x:c r="F10" s="2" t="inlineStr">
        <x:is>
          <x:t xml:space="preserve">YES</x:t>
        </x:is>
      </x:c>
    </x:row>
    <x:row r="11">
      <x:c r="A11" s="2" t="inlineStr">
        <x:is>
          <x:t xml:space="preserve">F-009</x:t>
        </x:is>
      </x:c>
      <x:c r="B11" s="2" t="inlineStr">
        <x:is>
          <x:t xml:space="preserve">Subscription auto-renewal (real charge, not simulated)</x:t>
        </x:is>
      </x:c>
      <x:c r="C11" s="2" t="inlineStr">
        <x:is>
          <x:t xml:space="preserve">Web</x:t>
        </x:is>
      </x:c>
      <x:c r="D11" s="2" t="inlineStr">
        <x:is>
          <x:t xml:space="preserve">Web Admin gap: Auto-renewal scheduled but disabled; TODO payment processing; simulated success.</x:t>
        </x:is>
      </x:c>
      <x:c r="E11" s="2" t="inlineStr">
        <x:is>
          <x:t xml:space="preserve">High</x:t>
        </x:is>
      </x:c>
      <x:c r="F11" s="2" t="inlineStr">
        <x:is>
          <x:t xml:space="preserve">YES</x:t>
        </x:is>
      </x:c>
    </x:row>
    <x:row r="12">
      <x:c r="A12" s="2" t="inlineStr">
        <x:is>
          <x:t xml:space="preserve">F-010</x:t>
        </x:is>
      </x:c>
      <x:c r="B12" s="2" t="inlineStr">
        <x:is>
          <x:t xml:space="preserve">Cloud Scheduler enabled + scheduled jobs executing</x:t>
        </x:is>
      </x:c>
      <x:c r="C12" s="2" t="inlineStr">
        <x:is>
          <x:t xml:space="preserve">Backend</x:t>
        </x:is>
      </x:c>
      <x:c r="D12" s="2" t="inlineStr">
        <x:is>
          <x:t xml:space="preserve">Cloud Scheduler API not enabled; scheduled jobs not executing in production.</x:t>
        </x:is>
      </x:c>
      <x:c r="E12" s="2" t="inlineStr">
        <x:is>
          <x:t xml:space="preserve">High</x:t>
        </x:is>
      </x:c>
      <x:c r="F12" s="2" t="inlineStr">
        <x:is>
          <x:t xml:space="preserve">YES</x:t>
        </x:is>
      </x:c>
    </x:row>
    <x:row r="13">
      <x:c r="A13" s="2" t="inlineStr">
        <x:is>
          <x:t xml:space="preserve">F-011</x:t>
        </x:is>
      </x:c>
      <x:c r="B13" s="2" t="inlineStr">
        <x:is>
          <x:t xml:space="preserve">QR token cleanup scheduler (7-day retention)</x:t>
        </x:is>
      </x:c>
      <x:c r="C13" s="2" t="inlineStr">
        <x:is>
          <x:t xml:space="preserve">Backend</x:t>
        </x:is>
      </x:c>
      <x:c r="D13" s="2" t="inlineStr">
        <x:is>
          <x:t xml:space="preserve">Scheduler code exists, but Cloud Scheduler disabled → not proven executing end-to-end.</x:t>
        </x:is>
      </x:c>
      <x:c r="E13" s="2" t="inlineStr">
        <x:is>
          <x:t xml:space="preserve">Medium</x:t>
        </x:is>
      </x:c>
      <x:c r="F13" s="2" t="inlineStr">
        <x:is>
          <x:t xml:space="preserve">YES</x:t>
        </x:is>
      </x:c>
    </x:row>
    <x:row r="14">
      <x:c r="A14" s="2" t="inlineStr">
        <x:is>
          <x:t xml:space="preserve">F-012</x:t>
        </x:is>
      </x:c>
      <x:c r="B14" s="2" t="inlineStr">
        <x:is>
          <x:t xml:space="preserve">Points expiry warnings notifications</x:t>
        </x:is>
      </x:c>
      <x:c r="C14" s="2" t="inlineStr">
        <x:is>
          <x:t xml:space="preserve">Backend</x:t>
        </x:is>
      </x:c>
      <x:c r="D14" s="2" t="inlineStr">
        <x:is>
          <x:t xml:space="preserve">Scheduler code exists, but Cloud Scheduler disabled → not proven executing end-to-end.</x:t>
        </x:is>
      </x:c>
      <x:c r="E14" s="2" t="inlineStr">
        <x:is>
          <x:t xml:space="preserve">Medium</x:t>
        </x:is>
      </x:c>
      <x:c r="F14" s="2" t="inlineStr">
        <x:is>
          <x:t xml:space="preserve">YES</x:t>
        </x:is>
      </x:c>
    </x:row>
    <x:row r="15">
      <x:c r="A15" s="2" t="inlineStr">
        <x:is>
          <x:t xml:space="preserve">F-014</x:t>
        </x:is>
      </x:c>
      <x:c r="B15" s="2" t="inlineStr">
        <x:is>
          <x:t xml:space="preserve">Admin batch notifications (500-token batching)</x:t>
        </x:is>
      </x:c>
      <x:c r="C15" s="2" t="inlineStr">
        <x:is>
          <x:t xml:space="preserve">Web</x:t>
        </x:is>
      </x:c>
      <x:c r="D15" s="2" t="inlineStr">
        <x:is>
          <x:t xml:space="preserve">Web Admin gap: Backend callable exists; PDF indicates no admin UI for push campaigns.</x:t>
        </x:is>
      </x:c>
      <x:c r="E15" s="2" t="inlineStr">
        <x:is>
          <x:t xml:space="preserve">Low</x:t>
        </x:is>
      </x:c>
      <x:c r="F15" s="2" t="inlineStr">
        <x:is>
          <x:t xml:space="preserve">NO</x:t>
        </x:is>
      </x:c>
    </x:row>
    <x:row r="16">
      <x:c r="A16" s="2" t="inlineStr">
        <x:is>
          <x:t xml:space="preserve">F-015</x:t>
        </x:is>
      </x:c>
      <x:c r="B16" s="2" t="inlineStr">
        <x:is>
          <x:t xml:space="preserve">Merchant compliance (5-offer threshold) enforced in UX/catalog</x:t>
        </x:is>
      </x:c>
      <x:c r="C16" s="2" t="inlineStr">
        <x:is>
          <x:t xml:space="preserve">Backend</x:t>
        </x:is>
      </x:c>
      <x:c r="D16" s="2" t="inlineStr">
        <x:is>
          <x:t xml:space="preserve">Scheduler code exists, but Cloud Scheduler disabled → not proven executing end-to-end.</x:t>
        </x:is>
      </x:c>
      <x:c r="E16" s="2" t="inlineStr">
        <x:is>
          <x:t xml:space="preserve">Medium</x:t>
        </x:is>
      </x:c>
      <x:c r="F16" s="2" t="inlineStr">
        <x:is>
          <x:t xml:space="preserve">YES</x:t>
        </x:is>
      </x:c>
    </x:row>
    <x:row r="17">
      <x:c r="A17" s="2" t="inlineStr">
        <x:is>
          <x:t xml:space="preserve">F-015</x:t>
        </x:is>
      </x:c>
      <x:c r="B17" s="2" t="inlineStr">
        <x:is>
          <x:t xml:space="preserve">Merchant compliance (5-offer threshold) enforced in UX/catalog</x:t>
        </x:is>
      </x:c>
      <x:c r="C17" s="2" t="inlineStr">
        <x:is>
          <x:t xml:space="preserve">Mobile</x:t>
        </x:is>
      </x:c>
      <x:c r="D17" s="2" t="inlineStr">
        <x:is>
          <x:t xml:space="preserve">Mobile Merchant gap: Scheduler code exists, but Cloud Scheduler disabled → not proven executing end-to-end.</x:t>
        </x:is>
      </x:c>
      <x:c r="E17" s="2" t="inlineStr">
        <x:is>
          <x:t xml:space="preserve">Medium</x:t>
        </x:is>
      </x:c>
      <x:c r="F17" s="2" t="inlineStr">
        <x:is>
          <x:t xml:space="preserve">YES</x:t>
        </x:is>
      </x:c>
    </x:row>
    <x:row r="18">
      <x:c r="A18" s="2" t="inlineStr">
        <x:is>
          <x:t xml:space="preserve">F-016</x:t>
        </x:is>
      </x:c>
      <x:c r="B18" s="2" t="inlineStr">
        <x:is>
          <x:t xml:space="preserve">Offer/subscription expiry reminders sent automatically</x:t>
        </x:is>
      </x:c>
      <x:c r="C18" s="2" t="inlineStr">
        <x:is>
          <x:t xml:space="preserve">Backend</x:t>
        </x:is>
      </x:c>
      <x:c r="D18" s="2" t="inlineStr">
        <x:is>
          <x:t xml:space="preserve">Scheduler code exists, but Cloud Scheduler disabled → not proven executing end-to-end.</x:t>
        </x:is>
      </x:c>
      <x:c r="E18" s="2" t="inlineStr">
        <x:is>
          <x:t xml:space="preserve">Medium</x:t>
        </x:is>
      </x:c>
      <x:c r="F18" s="2" t="inlineStr">
        <x:is>
          <x:t xml:space="preserve">YES</x:t>
        </x:is>
      </x:c>
    </x:row>
    <x:row r="19">
      <x:c r="A19" s="2" t="inlineStr">
        <x:is>
          <x:t xml:space="preserve">F-019</x:t>
        </x:is>
      </x:c>
      <x:c r="B19" s="2" t="inlineStr">
        <x:is>
          <x:t xml:space="preserve">Admin view redemptions history (screen + queries)</x:t>
        </x:is>
      </x:c>
      <x:c r="C19" s="2" t="inlineStr">
        <x:is>
          <x:t xml:space="preserve">Backend</x:t>
        </x:is>
      </x:c>
      <x:c r="D19" s="2" t="inlineStr">
        <x:is>
          <x:t xml:space="preserve">No evidence in PDF of working UI/queries or backend support for this feature.</x:t>
        </x:is>
      </x:c>
      <x:c r="E19" s="2" t="inlineStr">
        <x:is>
          <x:t xml:space="preserve">Low</x:t>
        </x:is>
      </x:c>
      <x:c r="F19" s="2" t="inlineStr">
        <x:is>
          <x:t xml:space="preserve">NO</x:t>
        </x:is>
      </x:c>
    </x:row>
    <x:row r="20">
      <x:c r="A20" s="2" t="inlineStr">
        <x:is>
          <x:t xml:space="preserve">F-019</x:t>
        </x:is>
      </x:c>
      <x:c r="B20" s="2" t="inlineStr">
        <x:is>
          <x:t xml:space="preserve">Admin view redemptions history (screen + queries)</x:t>
        </x:is>
      </x:c>
      <x:c r="C20" s="2" t="inlineStr">
        <x:is>
          <x:t xml:space="preserve">Web</x:t>
        </x:is>
      </x:c>
      <x:c r="D20" s="2" t="inlineStr">
        <x:is>
          <x:t xml:space="preserve">Web Admin gap: No evidence in PDF of working UI/queries or backend support for this feature.</x:t>
        </x:is>
      </x:c>
      <x:c r="E20" s="2" t="inlineStr">
        <x:is>
          <x:t xml:space="preserve">Low</x:t>
        </x:is>
      </x:c>
      <x:c r="F20" s="2" t="inlineStr">
        <x:is>
          <x:t xml:space="preserve">NO</x:t>
        </x:is>
      </x:c>
    </x:row>
    <x:row r="21">
      <x:c r="A21" s="2" t="inlineStr">
        <x:is>
          <x:t xml:space="preserve">F-020</x:t>
        </x:is>
      </x:c>
      <x:c r="B21" s="2" t="inlineStr">
        <x:is>
          <x:t xml:space="preserve">Admin adjust/refund points (UI + backend function)</x:t>
        </x:is>
      </x:c>
      <x:c r="C21" s="2" t="inlineStr">
        <x:is>
          <x:t xml:space="preserve">Backend</x:t>
        </x:is>
      </x:c>
      <x:c r="D21" s="2" t="inlineStr">
        <x:is>
          <x:t xml:space="preserve">No evidence in PDF of working UI/queries or backend support for this feature.</x:t>
        </x:is>
      </x:c>
      <x:c r="E21" s="2" t="inlineStr">
        <x:is>
          <x:t xml:space="preserve">Low</x:t>
        </x:is>
      </x:c>
      <x:c r="F21" s="2" t="inlineStr">
        <x:is>
          <x:t xml:space="preserve">NO</x:t>
        </x:is>
      </x:c>
    </x:row>
    <x:row r="22">
      <x:c r="A22" s="2" t="inlineStr">
        <x:is>
          <x:t xml:space="preserve">F-020</x:t>
        </x:is>
      </x:c>
      <x:c r="B22" s="2" t="inlineStr">
        <x:is>
          <x:t xml:space="preserve">Admin adjust/refund points (UI + backend function)</x:t>
        </x:is>
      </x:c>
      <x:c r="C22" s="2" t="inlineStr">
        <x:is>
          <x:t xml:space="preserve">Web</x:t>
        </x:is>
      </x:c>
      <x:c r="D22" s="2" t="inlineStr">
        <x:is>
          <x:t xml:space="preserve">Web Admin gap: No evidence in PDF of working UI/queries or backend support for this feature.</x:t>
        </x:is>
      </x:c>
      <x:c r="E22" s="2" t="inlineStr">
        <x:is>
          <x:t xml:space="preserve">Low</x:t>
        </x:is>
      </x:c>
      <x:c r="F22" s="2" t="inlineStr">
        <x:is>
          <x:t xml:space="preserve">NO</x:t>
        </x:is>
      </x:c>
    </x:row>
    <x:row r="23">
      <x:c r="A23" s="2" t="inlineStr">
        <x:is>
          <x:t xml:space="preserve">F-021</x:t>
        </x:is>
      </x:c>
      <x:c r="B23" s="2" t="inlineStr">
        <x:is>
          <x:t xml:space="preserve">Phone/OTP authentication end-to-end</x:t>
        </x:is>
      </x:c>
      <x:c r="C23" s="2" t="inlineStr">
        <x:is>
          <x:t xml:space="preserve">Backend</x:t>
        </x:is>
      </x:c>
      <x:c r="D23" s="2" t="inlineStr">
        <x:is>
          <x:t xml:space="preserve">SMS functions exist but not wired; apps use email/Google only.</x:t>
        </x:is>
      </x:c>
      <x:c r="E23" s="2" t="inlineStr">
        <x:is>
          <x:t xml:space="preserve">High</x:t>
        </x:is>
      </x:c>
      <x:c r="F23" s="2" t="inlineStr">
        <x:is>
          <x:t xml:space="preserve">YES</x:t>
        </x:is>
      </x:c>
    </x:row>
    <x:row r="24">
      <x:c r="A24" s="2" t="inlineStr">
        <x:is>
          <x:t xml:space="preserve">F-021</x:t>
        </x:is>
      </x:c>
      <x:c r="B24" s="2" t="inlineStr">
        <x:is>
          <x:t xml:space="preserve">Phone/OTP authentication end-to-end</x:t>
        </x:is>
      </x:c>
      <x:c r="C24" s="2" t="inlineStr">
        <x:is>
          <x:t xml:space="preserve">Mobile</x:t>
        </x:is>
      </x:c>
      <x:c r="D24" s="2" t="inlineStr">
        <x:is>
          <x:t xml:space="preserve">Mobile Customer gap: SMS functions exist but not wired; apps use email/Google only.</x:t>
        </x:is>
      </x:c>
      <x:c r="E24" s="2" t="inlineStr">
        <x:is>
          <x:t xml:space="preserve">High</x:t>
        </x:is>
      </x:c>
      <x:c r="F24" s="2" t="inlineStr">
        <x:is>
          <x:t xml:space="preserve">YES</x:t>
        </x:is>
      </x:c>
    </x:row>
    <x:row r="25">
      <x:c r="A25" s="2" t="inlineStr">
        <x:is>
          <x:t xml:space="preserve">F-021</x:t>
        </x:is>
      </x:c>
      <x:c r="B25" s="2" t="inlineStr">
        <x:is>
          <x:t xml:space="preserve">Phone/OTP authentication end-to-end</x:t>
        </x:is>
      </x:c>
      <x:c r="C25" s="2" t="inlineStr">
        <x:is>
          <x:t xml:space="preserve">Mobile</x:t>
        </x:is>
      </x:c>
      <x:c r="D25" s="2" t="inlineStr">
        <x:is>
          <x:t xml:space="preserve">Mobile Merchant gap: SMS functions exist but not wired; apps use email/Google only.</x:t>
        </x:is>
      </x:c>
      <x:c r="E25" s="2" t="inlineStr">
        <x:is>
          <x:t xml:space="preserve">High</x:t>
        </x:is>
      </x:c>
      <x:c r="F25" s="2" t="inlineStr">
        <x:is>
          <x:t xml:space="preserve">YES</x:t>
        </x:is>
      </x:c>
    </x:row>
    <x:row r="26">
      <x:c r="A26" s="2" t="inlineStr">
        <x:is>
          <x:t xml:space="preserve">F-022</x:t>
        </x:is>
      </x:c>
      <x:c r="B26" s="2" t="inlineStr">
        <x:is>
          <x:t xml:space="preserve">Lebanese SMS gateway integration (Alfa/Touch/Ogero)</x:t>
        </x:is>
      </x:c>
      <x:c r="C26" s="2" t="inlineStr">
        <x:is>
          <x:t xml:space="preserve">Backend</x:t>
        </x:is>
      </x:c>
      <x:c r="D26" s="2" t="inlineStr">
        <x:is>
          <x:t xml:space="preserve">No Lebanese gateway integration (Ogero/Alfa/Touch); only generic SMS skeleton.</x:t>
        </x:is>
      </x:c>
      <x:c r="E26" s="2" t="inlineStr">
        <x:is>
          <x:t xml:space="preserve">Low</x:t>
        </x:is>
      </x:c>
      <x:c r="F26" s="2" t="inlineStr">
        <x:is>
          <x:t xml:space="preserve">NO</x:t>
        </x:is>
      </x:c>
    </x:row>
    <x:row r="27">
      <x:c r="A27" s="2" t="inlineStr">
        <x:is>
          <x:t xml:space="preserve">F-023</x:t>
        </x:is>
      </x:c>
      <x:c r="B27" s="2" t="inlineStr">
        <x:is>
          <x:t xml:space="preserve">Arabic + English i18n across apps and web</x:t>
        </x:is>
      </x:c>
      <x:c r="C27" s="2" t="inlineStr">
        <x:is>
          <x:t xml:space="preserve">Backend</x:t>
        </x:is>
      </x:c>
      <x:c r="D27" s="2" t="inlineStr">
        <x:is>
          <x:t xml:space="preserve">No localization/i18n framework detected; English-only.</x:t>
        </x:is>
      </x:c>
      <x:c r="E27" s="2" t="inlineStr">
        <x:is>
          <x:t xml:space="preserve">Medium</x:t>
        </x:is>
      </x:c>
      <x:c r="F27" s="2" t="inlineStr">
        <x:is>
          <x:t xml:space="preserve">YES</x:t>
        </x:is>
      </x:c>
    </x:row>
    <x:row r="28">
      <x:c r="A28" s="2" t="inlineStr">
        <x:is>
          <x:t xml:space="preserve">F-023</x:t>
        </x:is>
      </x:c>
      <x:c r="B28" s="2" t="inlineStr">
        <x:is>
          <x:t xml:space="preserve">Arabic + English i18n across apps and web</x:t>
        </x:is>
      </x:c>
      <x:c r="C28" s="2" t="inlineStr">
        <x:is>
          <x:t xml:space="preserve">Mobile</x:t>
        </x:is>
      </x:c>
      <x:c r="D28" s="2" t="inlineStr">
        <x:is>
          <x:t xml:space="preserve">Mobile Customer gap: No localization/i18n framework detected; English-only.</x:t>
        </x:is>
      </x:c>
      <x:c r="E28" s="2" t="inlineStr">
        <x:is>
          <x:t xml:space="preserve">Medium</x:t>
        </x:is>
      </x:c>
      <x:c r="F28" s="2" t="inlineStr">
        <x:is>
          <x:t xml:space="preserve">YES</x:t>
        </x:is>
      </x:c>
    </x:row>
    <x:row r="29">
      <x:c r="A29" s="2" t="inlineStr">
        <x:is>
          <x:t xml:space="preserve">F-023</x:t>
        </x:is>
      </x:c>
      <x:c r="B29" s="2" t="inlineStr">
        <x:is>
          <x:t xml:space="preserve">Arabic + English i18n across apps and web</x:t>
        </x:is>
      </x:c>
      <x:c r="C29" s="2" t="inlineStr">
        <x:is>
          <x:t xml:space="preserve">Mobile</x:t>
        </x:is>
      </x:c>
      <x:c r="D29" s="2" t="inlineStr">
        <x:is>
          <x:t xml:space="preserve">Mobile Merchant gap: No localization/i18n framework detected; English-only.</x:t>
        </x:is>
      </x:c>
      <x:c r="E29" s="2" t="inlineStr">
        <x:is>
          <x:t xml:space="preserve">Medium</x:t>
        </x:is>
      </x:c>
      <x:c r="F29" s="2" t="inlineStr">
        <x:is>
          <x:t xml:space="preserve">YES</x:t>
        </x:is>
      </x:c>
    </x:row>
    <x:row r="30">
      <x:c r="A30" s="2" t="inlineStr">
        <x:is>
          <x:t xml:space="preserve">F-023</x:t>
        </x:is>
      </x:c>
      <x:c r="B30" s="2" t="inlineStr">
        <x:is>
          <x:t xml:space="preserve">Arabic + English i18n across apps and web</x:t>
        </x:is>
      </x:c>
      <x:c r="C30" s="2" t="inlineStr">
        <x:is>
          <x:t xml:space="preserve">Web</x:t>
        </x:is>
      </x:c>
      <x:c r="D30" s="2" t="inlineStr">
        <x:is>
          <x:t xml:space="preserve">Web Admin gap: No localization/i18n framework detected; English-only.</x:t>
        </x:is>
      </x:c>
      <x:c r="E30" s="2" t="inlineStr">
        <x:is>
          <x:t xml:space="preserve">Medium</x:t>
        </x:is>
      </x:c>
      <x:c r="F30" s="2" t="inlineStr">
        <x:is>
          <x:t xml:space="preserve">YES</x:t>
        </x:is>
      </x:c>
    </x:row>
    <x:row r="31">
      <x:c r="A31" s="2" t="inlineStr">
        <x:is>
          <x:t xml:space="preserve">F-024</x:t>
        </x:is>
      </x:c>
      <x:c r="B31" s="2" t="inlineStr">
        <x:is>
          <x:t xml:space="preserve">Merchant offer type selection UI (B1G1/Percent/Fixed)</x:t>
        </x:is>
      </x:c>
      <x:c r="C31" s="2" t="inlineStr">
        <x:is>
          <x:t xml:space="preserve">Mobile</x:t>
        </x:is>
      </x:c>
      <x:c r="D31" s="2" t="inlineStr">
        <x:is>
          <x:t xml:space="preserve">Mobile Merchant gap: Backend supports offer types, but merchant UI lacks selection dropdown.</x:t>
        </x:is>
      </x:c>
      <x:c r="E31" s="2" t="inlineStr">
        <x:is>
          <x:t xml:space="preserve">Low</x:t>
        </x:is>
      </x:c>
      <x:c r="F31" s="2" t="inlineStr">
        <x:is>
          <x:t xml:space="preserve">NO</x:t>
        </x:is>
      </x:c>
    </x:row>
    <x:row r="32">
      <x:c r="A32" s="2" t="inlineStr">
        <x:is>
          <x:t xml:space="preserve">F-025</x:t>
        </x:is>
      </x:c>
      <x:c r="B32" s="2" t="inlineStr">
        <x:is>
          <x:t xml:space="preserve">Merchant analytics dashboard (trends, deeper metrics)</x:t>
        </x:is>
      </x:c>
      <x:c r="C32" s="2" t="inlineStr">
        <x:is>
          <x:t xml:space="preserve">Backend</x:t>
        </x:is>
      </x:c>
      <x:c r="D32" s="2" t="inlineStr">
        <x:is>
          <x:t xml:space="preserve">Only basic metrics; no trends/cohorts.</x:t>
        </x:is>
      </x:c>
      <x:c r="E32" s="2" t="inlineStr">
        <x:is>
          <x:t xml:space="preserve">Low</x:t>
        </x:is>
      </x:c>
      <x:c r="F32" s="2" t="inlineStr">
        <x:is>
          <x:t xml:space="preserve">NO</x:t>
        </x:is>
      </x:c>
    </x:row>
    <x:row r="33">
      <x:c r="A33" s="2" t="inlineStr">
        <x:is>
          <x:t xml:space="preserve">F-025</x:t>
        </x:is>
      </x:c>
      <x:c r="B33" s="2" t="inlineStr">
        <x:is>
          <x:t xml:space="preserve">Merchant analytics dashboard (trends, deeper metrics)</x:t>
        </x:is>
      </x:c>
      <x:c r="C33" s="2" t="inlineStr">
        <x:is>
          <x:t xml:space="preserve">Mobile</x:t>
        </x:is>
      </x:c>
      <x:c r="D33" s="2" t="inlineStr">
        <x:is>
          <x:t xml:space="preserve">Mobile Merchant gap: Only basic metrics; no trends/cohorts.</x:t>
        </x:is>
      </x:c>
      <x:c r="E33" s="2" t="inlineStr">
        <x:is>
          <x:t xml:space="preserve">Low</x:t>
        </x:is>
      </x:c>
      <x:c r="F33" s="2" t="inlineStr">
        <x:is>
          <x:t xml:space="preserve">NO</x:t>
        </x:is>
      </x:c>
    </x:row>
    <x:row r="34">
      <x:c r="A34" s="2" t="inlineStr">
        <x:is>
          <x:t xml:space="preserve">F-026</x:t>
        </x:is>
      </x:c>
      <x:c r="B34" s="2" t="inlineStr">
        <x:is>
          <x:t xml:space="preserve">Merchant manage multiple branches (UI + switching)</x:t>
        </x:is>
      </x:c>
      <x:c r="C34" s="2" t="inlineStr">
        <x:is>
          <x:t xml:space="preserve">Backend</x:t>
        </x:is>
      </x:c>
      <x:c r="D34" s="2" t="inlineStr">
        <x:is>
          <x:t xml:space="preserve">Schema supports branches but no UI for switching/management.</x:t>
        </x:is>
      </x:c>
      <x:c r="E34" s="2" t="inlineStr">
        <x:is>
          <x:t xml:space="preserve">Low</x:t>
        </x:is>
      </x:c>
      <x:c r="F34" s="2" t="inlineStr">
        <x:is>
          <x:t xml:space="preserve">NO</x:t>
        </x:is>
      </x:c>
    </x:row>
    <x:row r="35">
      <x:c r="A35" s="2" t="inlineStr">
        <x:is>
          <x:t xml:space="preserve">F-026</x:t>
        </x:is>
      </x:c>
      <x:c r="B35" s="2" t="inlineStr">
        <x:is>
          <x:t xml:space="preserve">Merchant manage multiple branches (UI + switching)</x:t>
        </x:is>
      </x:c>
      <x:c r="C35" s="2" t="inlineStr">
        <x:is>
          <x:t xml:space="preserve">Mobile</x:t>
        </x:is>
      </x:c>
      <x:c r="D35" s="2" t="inlineStr">
        <x:is>
          <x:t xml:space="preserve">Mobile Merchant gap: Schema supports branches but no UI for switching/management.</x:t>
        </x:is>
      </x:c>
      <x:c r="E35" s="2" t="inlineStr">
        <x:is>
          <x:t xml:space="preserve">Low</x:t>
        </x:is>
      </x:c>
      <x:c r="F35" s="2" t="inlineStr">
        <x:is>
          <x:t xml:space="preserve">NO</x:t>
        </x:is>
      </x:c>
    </x:row>
    <x:row r="36">
      <x:c r="A36" s="2" t="inlineStr">
        <x:is>
          <x:t xml:space="preserve">F-027</x:t>
        </x:is>
      </x:c>
      <x:c r="B36" s="2" t="inlineStr">
        <x:is>
          <x:t xml:space="preserve">iOS build signing + provisioning for App Store</x:t>
        </x:is>
      </x:c>
      <x:c r="C36" s="2" t="inlineStr">
        <x:is>
          <x:t xml:space="preserve">Backend</x:t>
        </x:is>
      </x:c>
      <x:c r="D36" s="2" t="inlineStr">
        <x:is>
          <x:t xml:space="preserve">iOS signing missing; no Xcode config in ios/ folder.</x:t>
        </x:is>
      </x:c>
      <x:c r="E36" s="2" t="inlineStr">
        <x:is>
          <x:t xml:space="preserve">High</x:t>
        </x:is>
      </x:c>
      <x:c r="F36" s="2" t="inlineStr">
        <x:is>
          <x:t xml:space="preserve">YES</x:t>
        </x:is>
      </x:c>
    </x:row>
    <x:row r="37">
      <x:c r="A37" s="2" t="inlineStr">
        <x:is>
          <x:t xml:space="preserve">F-027</x:t>
        </x:is>
      </x:c>
      <x:c r="B37" s="2" t="inlineStr">
        <x:is>
          <x:t xml:space="preserve">iOS build signing + provisioning for App Store</x:t>
        </x:is>
      </x:c>
      <x:c r="C37" s="2" t="inlineStr">
        <x:is>
          <x:t xml:space="preserve">Mobile</x:t>
        </x:is>
      </x:c>
      <x:c r="D37" s="2" t="inlineStr">
        <x:is>
          <x:t xml:space="preserve">Mobile Customer gap: iOS signing missing; no Xcode config in ios/ folder.</x:t>
        </x:is>
      </x:c>
      <x:c r="E37" s="2" t="inlineStr">
        <x:is>
          <x:t xml:space="preserve">High</x:t>
        </x:is>
      </x:c>
      <x:c r="F37" s="2" t="inlineStr">
        <x:is>
          <x:t xml:space="preserve">YES</x:t>
        </x:is>
      </x:c>
    </x:row>
    <x:row r="38">
      <x:c r="A38" s="2" t="inlineStr">
        <x:is>
          <x:t xml:space="preserve">F-027</x:t>
        </x:is>
      </x:c>
      <x:c r="B38" s="2" t="inlineStr">
        <x:is>
          <x:t xml:space="preserve">iOS build signing + provisioning for App Store</x:t>
        </x:is>
      </x:c>
      <x:c r="C38" s="2" t="inlineStr">
        <x:is>
          <x:t xml:space="preserve">Mobile</x:t>
        </x:is>
      </x:c>
      <x:c r="D38" s="2" t="inlineStr">
        <x:is>
          <x:t xml:space="preserve">Mobile Merchant gap: iOS signing missing; no Xcode config in ios/ folder.</x:t>
        </x:is>
      </x:c>
      <x:c r="E38" s="2" t="inlineStr">
        <x:is>
          <x:t xml:space="preserve">High</x:t>
        </x:is>
      </x:c>
      <x:c r="F38" s="2" t="inlineStr">
        <x:is>
          <x:t xml:space="preserve">YES</x:t>
        </x:is>
      </x:c>
    </x:row>
    <x:row r="39">
      <x:c r="A39" s="2" t="inlineStr">
        <x:is>
          <x:t xml:space="preserve">F-028</x:t>
        </x:is>
      </x:c>
      <x:c r="B39" s="2" t="inlineStr">
        <x:is>
          <x:t xml:space="preserve">Android signing (keystore configured)</x:t>
        </x:is>
      </x:c>
      <x:c r="C39" s="2" t="inlineStr">
        <x:is>
          <x:t xml:space="preserve">Backend</x:t>
        </x:is>
      </x:c>
      <x:c r="D39" s="2" t="inlineStr">
        <x:is>
          <x:t xml:space="preserve">Android signing partial; keystore not configured.</x:t>
        </x:is>
      </x:c>
      <x:c r="E39" s="2" t="inlineStr">
        <x:is>
          <x:t xml:space="preserve">High</x:t>
        </x:is>
      </x:c>
      <x:c r="F39" s="2" t="inlineStr">
        <x:is>
          <x:t xml:space="preserve">YES</x:t>
        </x:is>
      </x:c>
    </x:row>
    <x:row r="40">
      <x:c r="A40" s="2" t="inlineStr">
        <x:is>
          <x:t xml:space="preserve">F-028</x:t>
        </x:is>
      </x:c>
      <x:c r="B40" s="2" t="inlineStr">
        <x:is>
          <x:t xml:space="preserve">Android signing (keystore configured)</x:t>
        </x:is>
      </x:c>
      <x:c r="C40" s="2" t="inlineStr">
        <x:is>
          <x:t xml:space="preserve">Mobile</x:t>
        </x:is>
      </x:c>
      <x:c r="D40" s="2" t="inlineStr">
        <x:is>
          <x:t xml:space="preserve">Mobile Customer gap: Android signing partial; keystore not configured.</x:t>
        </x:is>
      </x:c>
      <x:c r="E40" s="2" t="inlineStr">
        <x:is>
          <x:t xml:space="preserve">High</x:t>
        </x:is>
      </x:c>
      <x:c r="F40" s="2" t="inlineStr">
        <x:is>
          <x:t xml:space="preserve">YES</x:t>
        </x:is>
      </x:c>
    </x:row>
    <x:row r="41">
      <x:c r="A41" s="2" t="inlineStr">
        <x:is>
          <x:t xml:space="preserve">F-028</x:t>
        </x:is>
      </x:c>
      <x:c r="B41" s="2" t="inlineStr">
        <x:is>
          <x:t xml:space="preserve">Android signing (keystore configured)</x:t>
        </x:is>
      </x:c>
      <x:c r="C41" s="2" t="inlineStr">
        <x:is>
          <x:t xml:space="preserve">Mobile</x:t>
        </x:is>
      </x:c>
      <x:c r="D41" s="2" t="inlineStr">
        <x:is>
          <x:t xml:space="preserve">Mobile Merchant gap: Android signing partial; keystore not configured.</x:t>
        </x:is>
      </x:c>
      <x:c r="E41" s="2" t="inlineStr">
        <x:is>
          <x:t xml:space="preserve">High</x:t>
        </x:is>
      </x:c>
      <x:c r="F41" s="2" t="inlineStr">
        <x:is>
          <x:t xml:space="preserve">YES</x:t>
        </x:is>
      </x:c>
    </x:row>
    <x:row r="42">
      <x:c r="A42" s="2" t="inlineStr">
        <x:is>
          <x:t xml:space="preserve">F-029</x:t>
        </x:is>
      </x:c>
      <x:c r="B42" s="2" t="inlineStr">
        <x:is>
          <x:t xml:space="preserve">Privacy policy hosted + linked in apps</x:t>
        </x:is>
      </x:c>
      <x:c r="C42" s="2" t="inlineStr">
        <x:is>
          <x:t xml:space="preserve">Backend</x:t>
        </x:is>
      </x:c>
      <x:c r="D42" s="2" t="inlineStr">
        <x:is>
          <x:t xml:space="preserve">Privacy policy not hosted/linked.</x:t>
        </x:is>
      </x:c>
      <x:c r="E42" s="2" t="inlineStr">
        <x:is>
          <x:t xml:space="preserve">Low</x:t>
        </x:is>
      </x:c>
      <x:c r="F42" s="2" t="inlineStr">
        <x:is>
          <x:t xml:space="preserve">NO</x:t>
        </x:is>
      </x:c>
    </x:row>
    <x:row r="43">
      <x:c r="A43" s="2" t="inlineStr">
        <x:is>
          <x:t xml:space="preserve">F-029</x:t>
        </x:is>
      </x:c>
      <x:c r="B43" s="2" t="inlineStr">
        <x:is>
          <x:t xml:space="preserve">Privacy policy hosted + linked in apps</x:t>
        </x:is>
      </x:c>
      <x:c r="C43" s="2" t="inlineStr">
        <x:is>
          <x:t xml:space="preserve">Mobile</x:t>
        </x:is>
      </x:c>
      <x:c r="D43" s="2" t="inlineStr">
        <x:is>
          <x:t xml:space="preserve">Mobile Customer gap: Privacy policy not hosted/linked.</x:t>
        </x:is>
      </x:c>
      <x:c r="E43" s="2" t="inlineStr">
        <x:is>
          <x:t xml:space="preserve">Low</x:t>
        </x:is>
      </x:c>
      <x:c r="F43" s="2" t="inlineStr">
        <x:is>
          <x:t xml:space="preserve">NO</x:t>
        </x:is>
      </x:c>
    </x:row>
    <x:row r="44">
      <x:c r="A44" s="2" t="inlineStr">
        <x:is>
          <x:t xml:space="preserve">F-029</x:t>
        </x:is>
      </x:c>
      <x:c r="B44" s="2" t="inlineStr">
        <x:is>
          <x:t xml:space="preserve">Privacy policy hosted + linked in apps</x:t>
        </x:is>
      </x:c>
      <x:c r="C44" s="2" t="inlineStr">
        <x:is>
          <x:t xml:space="preserve">Mobile</x:t>
        </x:is>
      </x:c>
      <x:c r="D44" s="2" t="inlineStr">
        <x:is>
          <x:t xml:space="preserve">Mobile Merchant gap: Privacy policy not hosted/linked.</x:t>
        </x:is>
      </x:c>
      <x:c r="E44" s="2" t="inlineStr">
        <x:is>
          <x:t xml:space="preserve">Low</x:t>
        </x:is>
      </x:c>
      <x:c r="F44" s="2" t="inlineStr">
        <x:is>
          <x:t xml:space="preserve">NO</x:t>
        </x:is>
      </x:c>
    </x:row>
    <x:row r="45">
      <x:c r="A45" s="2" t="inlineStr">
        <x:is>
          <x:t xml:space="preserve">F-029</x:t>
        </x:is>
      </x:c>
      <x:c r="B45" s="2" t="inlineStr">
        <x:is>
          <x:t xml:space="preserve">Privacy policy hosted + linked in apps</x:t>
        </x:is>
      </x:c>
      <x:c r="C45" s="2" t="inlineStr">
        <x:is>
          <x:t xml:space="preserve">Web</x:t>
        </x:is>
      </x:c>
      <x:c r="D45" s="2" t="inlineStr">
        <x:is>
          <x:t xml:space="preserve">Web Admin gap: Privacy policy not hosted/linked.</x:t>
        </x:is>
      </x:c>
      <x:c r="E45" s="2" t="inlineStr">
        <x:is>
          <x:t xml:space="preserve">Low</x:t>
        </x:is>
      </x:c>
      <x:c r="F45" s="2" t="inlineStr">
        <x:is>
          <x:t xml:space="preserve">NO</x:t>
        </x:is>
      </x:c>
    </x:row>
    <x:row r="46">
      <x:c r="A46" s="2" t="inlineStr">
        <x:is>
          <x:t xml:space="preserve">F-030</x:t>
        </x:is>
      </x:c>
      <x:c r="B46" s="2" t="inlineStr">
        <x:is>
          <x:t xml:space="preserve">Terms of service hosted + linked in apps</x:t>
        </x:is>
      </x:c>
      <x:c r="C46" s="2" t="inlineStr">
        <x:is>
          <x:t xml:space="preserve">Backend</x:t>
        </x:is>
      </x:c>
      <x:c r="D46" s="2" t="inlineStr">
        <x:is>
          <x:t xml:space="preserve">Terms of service not hosted/linked.</x:t>
        </x:is>
      </x:c>
      <x:c r="E46" s="2" t="inlineStr">
        <x:is>
          <x:t xml:space="preserve">Low</x:t>
        </x:is>
      </x:c>
      <x:c r="F46" s="2" t="inlineStr">
        <x:is>
          <x:t xml:space="preserve">NO</x:t>
        </x:is>
      </x:c>
    </x:row>
    <x:row r="47">
      <x:c r="A47" s="2" t="inlineStr">
        <x:is>
          <x:t xml:space="preserve">F-030</x:t>
        </x:is>
      </x:c>
      <x:c r="B47" s="2" t="inlineStr">
        <x:is>
          <x:t xml:space="preserve">Terms of service hosted + linked in apps</x:t>
        </x:is>
      </x:c>
      <x:c r="C47" s="2" t="inlineStr">
        <x:is>
          <x:t xml:space="preserve">Mobile</x:t>
        </x:is>
      </x:c>
      <x:c r="D47" s="2" t="inlineStr">
        <x:is>
          <x:t xml:space="preserve">Mobile Customer gap: Terms of service not hosted/linked.</x:t>
        </x:is>
      </x:c>
      <x:c r="E47" s="2" t="inlineStr">
        <x:is>
          <x:t xml:space="preserve">Low</x:t>
        </x:is>
      </x:c>
      <x:c r="F47" s="2" t="inlineStr">
        <x:is>
          <x:t xml:space="preserve">NO</x:t>
        </x:is>
      </x:c>
    </x:row>
    <x:row r="48">
      <x:c r="A48" s="2" t="inlineStr">
        <x:is>
          <x:t xml:space="preserve">F-030</x:t>
        </x:is>
      </x:c>
      <x:c r="B48" s="2" t="inlineStr">
        <x:is>
          <x:t xml:space="preserve">Terms of service hosted + linked in apps</x:t>
        </x:is>
      </x:c>
      <x:c r="C48" s="2" t="inlineStr">
        <x:is>
          <x:t xml:space="preserve">Mobile</x:t>
        </x:is>
      </x:c>
      <x:c r="D48" s="2" t="inlineStr">
        <x:is>
          <x:t xml:space="preserve">Mobile Merchant gap: Terms of service not hosted/linked.</x:t>
        </x:is>
      </x:c>
      <x:c r="E48" s="2" t="inlineStr">
        <x:is>
          <x:t xml:space="preserve">Low</x:t>
        </x:is>
      </x:c>
      <x:c r="F48" s="2" t="inlineStr">
        <x:is>
          <x:t xml:space="preserve">NO</x:t>
        </x:is>
      </x:c>
    </x:row>
    <x:row r="49">
      <x:c r="A49" s="2" t="inlineStr">
        <x:is>
          <x:t xml:space="preserve">F-030</x:t>
        </x:is>
      </x:c>
      <x:c r="B49" s="2" t="inlineStr">
        <x:is>
          <x:t xml:space="preserve">Terms of service hosted + linked in apps</x:t>
        </x:is>
      </x:c>
      <x:c r="C49" s="2" t="inlineStr">
        <x:is>
          <x:t xml:space="preserve">Web</x:t>
        </x:is>
      </x:c>
      <x:c r="D49" s="2" t="inlineStr">
        <x:is>
          <x:t xml:space="preserve">Web Admin gap: Terms of service not hosted/linked.</x:t>
        </x:is>
      </x:c>
      <x:c r="E49" s="2" t="inlineStr">
        <x:is>
          <x:t xml:space="preserve">Low</x:t>
        </x:is>
      </x:c>
      <x:c r="F49" s="2" t="inlineStr">
        <x:is>
          <x:t xml:space="preserve">NO</x:t>
        </x:is>
      </x:c>
    </x:row>
    <x:row r="50">
      <x:c r="A50" s="2" t="inlineStr">
        <x:is>
          <x:t xml:space="preserve">F-031</x:t>
        </x:is>
      </x:c>
      <x:c r="B50" s="2" t="inlineStr">
        <x:is>
          <x:t xml:space="preserve">GDPR data export (user request) wired to UI</x:t>
        </x:is>
      </x:c>
      <x:c r="C50" s="2" t="inlineStr">
        <x:is>
          <x:t xml:space="preserve">Backend</x:t>
        </x:is>
      </x:c>
      <x:c r="D50" s="2" t="inlineStr">
        <x:is>
          <x:t xml:space="preserve">Export function exists but disabled; no UI entry points.</x:t>
        </x:is>
      </x:c>
      <x:c r="E50" s="2" t="inlineStr">
        <x:is>
          <x:t xml:space="preserve">Medium</x:t>
        </x:is>
      </x:c>
      <x:c r="F50" s="2" t="inlineStr">
        <x:is>
          <x:t xml:space="preserve">YES</x:t>
        </x:is>
      </x:c>
    </x:row>
    <x:row r="51">
      <x:c r="A51" s="2" t="inlineStr">
        <x:is>
          <x:t xml:space="preserve">F-031</x:t>
        </x:is>
      </x:c>
      <x:c r="B51" s="2" t="inlineStr">
        <x:is>
          <x:t xml:space="preserve">GDPR data export (user request) wired to UI</x:t>
        </x:is>
      </x:c>
      <x:c r="C51" s="2" t="inlineStr">
        <x:is>
          <x:t xml:space="preserve">Mobile</x:t>
        </x:is>
      </x:c>
      <x:c r="D51" s="2" t="inlineStr">
        <x:is>
          <x:t xml:space="preserve">Mobile Customer gap: Export function exists but disabled; no UI entry points.</x:t>
        </x:is>
      </x:c>
      <x:c r="E51" s="2" t="inlineStr">
        <x:is>
          <x:t xml:space="preserve">Medium</x:t>
        </x:is>
      </x:c>
      <x:c r="F51" s="2" t="inlineStr">
        <x:is>
          <x:t xml:space="preserve">YES</x:t>
        </x:is>
      </x:c>
    </x:row>
    <x:row r="52">
      <x:c r="A52" s="2" t="inlineStr">
        <x:is>
          <x:t xml:space="preserve">F-031</x:t>
        </x:is>
      </x:c>
      <x:c r="B52" s="2" t="inlineStr">
        <x:is>
          <x:t xml:space="preserve">GDPR data export (user request) wired to UI</x:t>
        </x:is>
      </x:c>
      <x:c r="C52" s="2" t="inlineStr">
        <x:is>
          <x:t xml:space="preserve">Mobile</x:t>
        </x:is>
      </x:c>
      <x:c r="D52" s="2" t="inlineStr">
        <x:is>
          <x:t xml:space="preserve">Mobile Merchant gap: Export function exists but disabled; no UI entry points.</x:t>
        </x:is>
      </x:c>
      <x:c r="E52" s="2" t="inlineStr">
        <x:is>
          <x:t xml:space="preserve">Medium</x:t>
        </x:is>
      </x:c>
      <x:c r="F52" s="2" t="inlineStr">
        <x:is>
          <x:t xml:space="preserve">YES</x:t>
        </x:is>
      </x:c>
    </x:row>
    <x:row r="53">
      <x:c r="A53" s="2" t="inlineStr">
        <x:is>
          <x:t xml:space="preserve">F-032</x:t>
        </x:is>
      </x:c>
      <x:c r="B53" s="2" t="inlineStr">
        <x:is>
          <x:t xml:space="preserve">GDPR data deletion wired to UI</x:t>
        </x:is>
      </x:c>
      <x:c r="C53" s="2" t="inlineStr">
        <x:is>
          <x:t xml:space="preserve">Backend</x:t>
        </x:is>
      </x:c>
      <x:c r="D53" s="2" t="inlineStr">
        <x:is>
          <x:t xml:space="preserve">Deletion function exists but disabled; no UI entry points.</x:t>
        </x:is>
      </x:c>
      <x:c r="E53" s="2" t="inlineStr">
        <x:is>
          <x:t xml:space="preserve">Medium</x:t>
        </x:is>
      </x:c>
      <x:c r="F53" s="2" t="inlineStr">
        <x:is>
          <x:t xml:space="preserve">YES</x:t>
        </x:is>
      </x:c>
    </x:row>
    <x:row r="54">
      <x:c r="A54" s="2" t="inlineStr">
        <x:is>
          <x:t xml:space="preserve">F-032</x:t>
        </x:is>
      </x:c>
      <x:c r="B54" s="2" t="inlineStr">
        <x:is>
          <x:t xml:space="preserve">GDPR data deletion wired to UI</x:t>
        </x:is>
      </x:c>
      <x:c r="C54" s="2" t="inlineStr">
        <x:is>
          <x:t xml:space="preserve">Mobile</x:t>
        </x:is>
      </x:c>
      <x:c r="D54" s="2" t="inlineStr">
        <x:is>
          <x:t xml:space="preserve">Mobile Customer gap: Deletion function exists but disabled; no UI entry points.</x:t>
        </x:is>
      </x:c>
      <x:c r="E54" s="2" t="inlineStr">
        <x:is>
          <x:t xml:space="preserve">Medium</x:t>
        </x:is>
      </x:c>
      <x:c r="F54" s="2" t="inlineStr">
        <x:is>
          <x:t xml:space="preserve">YES</x:t>
        </x:is>
      </x:c>
    </x:row>
    <x:row r="55">
      <x:c r="A55" s="2" t="inlineStr">
        <x:is>
          <x:t xml:space="preserve">F-032</x:t>
        </x:is>
      </x:c>
      <x:c r="B55" s="2" t="inlineStr">
        <x:is>
          <x:t xml:space="preserve">GDPR data deletion wired to UI</x:t>
        </x:is>
      </x:c>
      <x:c r="C55" s="2" t="inlineStr">
        <x:is>
          <x:t xml:space="preserve">Mobile</x:t>
        </x:is>
      </x:c>
      <x:c r="D55" s="2" t="inlineStr">
        <x:is>
          <x:t xml:space="preserve">Mobile Merchant gap: Deletion function exists but disabled; no UI entry points.</x:t>
        </x:is>
      </x:c>
      <x:c r="E55" s="2" t="inlineStr">
        <x:is>
          <x:t xml:space="preserve">Medium</x:t>
        </x:is>
      </x:c>
      <x:c r="F55" s="2" t="inlineStr">
        <x:is>
          <x:t xml:space="preserve">YES</x:t>
        </x:is>
      </x:c>
    </x:row>
    <x:row r="56">
      <x:c r="A56" s="2" t="inlineStr">
        <x:is>
          <x:t xml:space="preserve">F-033</x:t>
        </x:is>
      </x:c>
      <x:c r="B56" s="2" t="inlineStr">
        <x:is>
          <x:t xml:space="preserve">Production monitoring + alerting (Sentry/Datadog) configured</x:t>
        </x:is>
      </x:c>
      <x:c r="C56" s="2" t="inlineStr">
        <x:is>
          <x:t xml:space="preserve">Backend</x:t>
        </x:is>
      </x:c>
      <x:c r="D56" s="2" t="inlineStr">
        <x:is>
          <x:t xml:space="preserve">Crash reporting checks exist but not configured; no alerting/monitoring.</x:t>
        </x:is>
      </x:c>
      <x:c r="E56" s="2" t="inlineStr">
        <x:is>
          <x:t xml:space="preserve">Medium</x:t>
        </x:is>
      </x:c>
      <x:c r="F56" s="2" t="inlineStr">
        <x:is>
          <x:t xml:space="preserve">YES</x:t>
        </x:is>
      </x:c>
    </x:row>
    <x:row r="57">
      <x:c r="A57" s="2" t="inlineStr">
        <x:is>
          <x:t xml:space="preserve">F-033</x:t>
        </x:is>
      </x:c>
      <x:c r="B57" s="2" t="inlineStr">
        <x:is>
          <x:t xml:space="preserve">Production monitoring + alerting (Sentry/Datadog) configured</x:t>
        </x:is>
      </x:c>
      <x:c r="C57" s="2" t="inlineStr">
        <x:is>
          <x:t xml:space="preserve">Mobile</x:t>
        </x:is>
      </x:c>
      <x:c r="D57" s="2" t="inlineStr">
        <x:is>
          <x:t xml:space="preserve">Mobile Customer gap: Crash reporting checks exist but not configured; no alerting/monitoring.</x:t>
        </x:is>
      </x:c>
      <x:c r="E57" s="2" t="inlineStr">
        <x:is>
          <x:t xml:space="preserve">Medium</x:t>
        </x:is>
      </x:c>
      <x:c r="F57" s="2" t="inlineStr">
        <x:is>
          <x:t xml:space="preserve">YES</x:t>
        </x:is>
      </x:c>
    </x:row>
    <x:row r="58">
      <x:c r="A58" s="2" t="inlineStr">
        <x:is>
          <x:t xml:space="preserve">F-033</x:t>
        </x:is>
      </x:c>
      <x:c r="B58" s="2" t="inlineStr">
        <x:is>
          <x:t xml:space="preserve">Production monitoring + alerting (Sentry/Datadog) configured</x:t>
        </x:is>
      </x:c>
      <x:c r="C58" s="2" t="inlineStr">
        <x:is>
          <x:t xml:space="preserve">Mobile</x:t>
        </x:is>
      </x:c>
      <x:c r="D58" s="2" t="inlineStr">
        <x:is>
          <x:t xml:space="preserve">Mobile Merchant gap: Crash reporting checks exist but not configured; no alerting/monitoring.</x:t>
        </x:is>
      </x:c>
      <x:c r="E58" s="2" t="inlineStr">
        <x:is>
          <x:t xml:space="preserve">Medium</x:t>
        </x:is>
      </x:c>
      <x:c r="F58" s="2" t="inlineStr">
        <x:is>
          <x:t xml:space="preserve">YES</x:t>
        </x:is>
      </x:c>
    </x:row>
    <x:row r="59">
      <x:c r="A59" s="2" t="inlineStr">
        <x:is>
          <x:t xml:space="preserve">F-034</x:t>
        </x:is>
      </x:c>
      <x:c r="B59" s="2" t="inlineStr">
        <x:is>
          <x:t xml:space="preserve">Rate limiting enforced in production (rules / middleware)</x:t>
        </x:is>
      </x:c>
      <x:c r="C59" s="2" t="inlineStr">
        <x:is>
          <x:t xml:space="preserve">Backend</x:t>
        </x:is>
      </x:c>
      <x:c r="D59" s="2" t="inlineStr">
        <x:is>
          <x:t xml:space="preserve">No rate limiting deployed.</x:t>
        </x:is>
      </x:c>
      <x:c r="E59" s="2" t="inlineStr">
        <x:is>
          <x:t xml:space="preserve">Medium</x:t>
        </x:is>
      </x:c>
      <x:c r="F59" s="2" t="inlineStr">
        <x:is>
          <x:t xml:space="preserve">YES</x:t>
        </x:is>
      </x:c>
    </x:row>
    <x:row r="60">
      <x:c r="A60" s="2" t="inlineStr">
        <x:is>
          <x:t xml:space="preserve">F-035</x:t>
        </x:is>
      </x:c>
      <x:c r="B60" s="2" t="inlineStr">
        <x:is>
          <x:t xml:space="preserve">Backend input validation enforced on all functions</x:t>
        </x:is>
      </x:c>
      <x:c r="C60" s="2" t="inlineStr">
        <x:is>
          <x:t xml:space="preserve">Backend</x:t>
        </x:is>
      </x:c>
      <x:c r="D60" s="2" t="inlineStr">
        <x:is>
          <x:t xml:space="preserve">Schemas exist but not enforced across functions (11/15 not enforced per PDF).</x:t>
        </x:is>
      </x:c>
      <x:c r="E60" s="2" t="inlineStr">
        <x:is>
          <x:t xml:space="preserve">Medium</x:t>
        </x:is>
      </x:c>
      <x:c r="F60" s="2" t="inlineStr">
        <x:is>
          <x:t xml:space="preserve">YES</x:t>
        </x:is>
      </x:c>
    </x:row>
    <x:row r="61">
      <x:c r="A61" s="2" t="inlineStr">
        <x:is>
          <x:t xml:space="preserve">F-036</x:t>
        </x:is>
      </x:c>
      <x:c r="B61" s="2" t="inlineStr">
        <x:is>
          <x:t xml:space="preserve">Audit logging system (write + admin view)</x:t>
        </x:is>
      </x:c>
      <x:c r="C61" s="2" t="inlineStr">
        <x:is>
          <x:t xml:space="preserve">Backend</x:t>
        </x:is>
      </x:c>
      <x:c r="D61" s="2" t="inlineStr">
        <x:is>
          <x:t xml:space="preserve">No audit log collection or admin view.</x:t>
        </x:is>
      </x:c>
      <x:c r="E61" s="2" t="inlineStr">
        <x:is>
          <x:t xml:space="preserve">Medium</x:t>
        </x:is>
      </x:c>
      <x:c r="F61" s="2" t="inlineStr">
        <x:is>
          <x:t xml:space="preserve">YES</x:t>
        </x:is>
      </x:c>
    </x:row>
    <x:row r="62">
      <x:c r="A62" s="2" t="inlineStr">
        <x:is>
          <x:t xml:space="preserve">F-036</x:t>
        </x:is>
      </x:c>
      <x:c r="B62" s="2" t="inlineStr">
        <x:is>
          <x:t xml:space="preserve">Audit logging system (write + admin view)</x:t>
        </x:is>
      </x:c>
      <x:c r="C62" s="2" t="inlineStr">
        <x:is>
          <x:t xml:space="preserve">Web</x:t>
        </x:is>
      </x:c>
      <x:c r="D62" s="2" t="inlineStr">
        <x:is>
          <x:t xml:space="preserve">Web Admin gap: No audit log collection or admin view.</x:t>
        </x:is>
      </x:c>
      <x:c r="E62" s="2" t="inlineStr">
        <x:is>
          <x:t xml:space="preserve">Medium</x:t>
        </x:is>
      </x:c>
      <x:c r="F62" s="2" t="inlineStr">
        <x:is>
          <x:t xml:space="preserve">YES</x:t>
        </x:is>
      </x:c>
    </x:row>
    <x:row r="63">
      <x:c r="A63" s="2" t="inlineStr">
        <x:is>
          <x:t xml:space="preserve">F-037</x:t>
        </x:is>
      </x:c>
      <x:c r="B63" s="2" t="inlineStr">
        <x:is>
          <x:t xml:space="preserve">Automated database backups</x:t>
        </x:is>
      </x:c>
      <x:c r="C63" s="2" t="inlineStr">
        <x:is>
          <x:t xml:space="preserve">Backend</x:t>
        </x:is>
      </x:c>
      <x:c r="D63" s="2" t="inlineStr">
        <x:is>
          <x:t xml:space="preserve">Manual script exists; no scheduler/automation.</x:t>
        </x:is>
      </x:c>
      <x:c r="E63" s="2" t="inlineStr">
        <x:is>
          <x:t xml:space="preserve">Medium</x:t>
        </x:is>
      </x:c>
      <x:c r="F63" s="2" t="inlineStr">
        <x:is>
          <x:t xml:space="preserve">YES</x:t>
        </x:is>
      </x:c>
    </x:row>
    <x:row r="64">
      <x:c r="A64" s="2" t="inlineStr">
        <x:is>
          <x:t xml:space="preserve">F-038</x:t>
        </x:is>
      </x:c>
      <x:c r="B64" s="2" t="inlineStr">
        <x:is>
          <x:t xml:space="preserve">CI/CD pipeline (build/test/deploy automation)</x:t>
        </x:is>
      </x:c>
      <x:c r="C64" s="2" t="inlineStr">
        <x:is>
          <x:t xml:space="preserve">Backend</x:t>
        </x:is>
      </x:c>
      <x:c r="D64" s="2" t="inlineStr">
        <x:is>
          <x:t xml:space="preserve">No CI/CD pipeline.</x:t>
        </x:is>
      </x:c>
      <x:c r="E64" s="2" t="inlineStr">
        <x:is>
          <x:t xml:space="preserve">Low</x:t>
        </x:is>
      </x:c>
      <x:c r="F64" s="2" t="inlineStr">
        <x:is>
          <x:t xml:space="preserve">NO</x:t>
        </x:is>
      </x:c>
    </x:row>
    <x:row r="65">
      <x:c r="A65" s="2" t="inlineStr">
        <x:is>
          <x:t xml:space="preserve">F-039</x:t>
        </x:is>
      </x:c>
      <x:c r="B65" s="2" t="inlineStr">
        <x:is>
          <x:t xml:space="preserve">End-to-end tests for key flows</x:t>
        </x:is>
      </x:c>
      <x:c r="C65" s="2" t="inlineStr">
        <x:is>
          <x:t xml:space="preserve">Backend</x:t>
        </x:is>
      </x:c>
      <x:c r="D65" s="2" t="inlineStr">
        <x:is>
          <x:t xml:space="preserve">No e2e test suite evidenced in PDF.</x:t>
        </x:is>
      </x:c>
      <x:c r="E65" s="2" t="inlineStr">
        <x:is>
          <x:t xml:space="preserve">Low</x:t>
        </x:is>
      </x:c>
      <x:c r="F65" s="2" t="inlineStr">
        <x:is>
          <x:t xml:space="preserve">NO</x:t>
        </x:is>
      </x:c>
    </x:row>
    <x:row r="66">
      <x:c r="A66" s="2" t="inlineStr">
        <x:is>
          <x:t xml:space="preserve">F-039</x:t>
        </x:is>
      </x:c>
      <x:c r="B66" s="2" t="inlineStr">
        <x:is>
          <x:t xml:space="preserve">End-to-end tests for key flows</x:t>
        </x:is>
      </x:c>
      <x:c r="C66" s="2" t="inlineStr">
        <x:is>
          <x:t xml:space="preserve">Mobile</x:t>
        </x:is>
      </x:c>
      <x:c r="D66" s="2" t="inlineStr">
        <x:is>
          <x:t xml:space="preserve">Mobile Customer gap: No e2e test suite evidenced in PDF.</x:t>
        </x:is>
      </x:c>
      <x:c r="E66" s="2" t="inlineStr">
        <x:is>
          <x:t xml:space="preserve">Low</x:t>
        </x:is>
      </x:c>
      <x:c r="F66" s="2" t="inlineStr">
        <x:is>
          <x:t xml:space="preserve">NO</x:t>
        </x:is>
      </x:c>
    </x:row>
    <x:row r="67">
      <x:c r="A67" s="2" t="inlineStr">
        <x:is>
          <x:t xml:space="preserve">F-039</x:t>
        </x:is>
      </x:c>
      <x:c r="B67" s="2" t="inlineStr">
        <x:is>
          <x:t xml:space="preserve">End-to-end tests for key flows</x:t>
        </x:is>
      </x:c>
      <x:c r="C67" s="2" t="inlineStr">
        <x:is>
          <x:t xml:space="preserve">Mobile</x:t>
        </x:is>
      </x:c>
      <x:c r="D67" s="2" t="inlineStr">
        <x:is>
          <x:t xml:space="preserve">Mobile Merchant gap: No e2e test suite evidenced in PDF.</x:t>
        </x:is>
      </x:c>
      <x:c r="E67" s="2" t="inlineStr">
        <x:is>
          <x:t xml:space="preserve">Low</x:t>
        </x:is>
      </x:c>
      <x:c r="F67" s="2" t="inlineStr">
        <x:is>
          <x:t xml:space="preserve">NO</x:t>
        </x:is>
      </x:c>
    </x:row>
    <x:row r="68">
      <x:c r="A68" s="2" t="inlineStr">
        <x:is>
          <x:t xml:space="preserve">F-040</x:t>
        </x:is>
      </x:c>
      <x:c r="B68" s="2" t="inlineStr">
        <x:is>
          <x:t xml:space="preserve">Secrets moved to Secret Manager (no hardcoded/disabled checks)</x:t>
        </x:is>
      </x:c>
      <x:c r="C68" s="2" t="inlineStr">
        <x:is>
          <x:t xml:space="preserve">Backend</x:t>
        </x:is>
      </x:c>
      <x:c r="D68" s="2" t="inlineStr">
        <x:is>
          <x:t xml:space="preserve">Hardcoded secrets / commented secret validations; Secret Manager TODO.</x:t>
        </x:is>
      </x:c>
      <x:c r="E68" s="2" t="inlineStr">
        <x:is>
          <x:t xml:space="preserve">High</x:t>
        </x:is>
      </x:c>
      <x:c r="F68" s="2" t="inlineStr">
        <x:is>
          <x:t xml:space="preserve">YES</x:t>
        </x:is>
      </x:c>
    </x:row>
    <x:row r="69">
      <x:c r="A69" s="2" t="inlineStr">
        <x:is>
          <x:t xml:space="preserve">F-041</x:t>
        </x:is>
      </x:c>
      <x:c r="B69" s="2" t="inlineStr">
        <x:is>
          <x:t xml:space="preserve">App store deployment scripts (iOS/Android)</x:t>
        </x:is>
      </x:c>
      <x:c r="C69" s="2" t="inlineStr">
        <x:is>
          <x:t xml:space="preserve">Backend</x:t>
        </x:is>
      </x:c>
      <x:c r="D69" s="2" t="inlineStr">
        <x:is>
          <x:t xml:space="preserve">No deployment scripts for store builds/submission.</x:t>
        </x:is>
      </x:c>
      <x:c r="E69" s="2" t="inlineStr">
        <x:is>
          <x:t xml:space="preserve">Low</x:t>
        </x:is>
      </x:c>
      <x:c r="F69" s="2" t="inlineStr">
        <x:is>
          <x:t xml:space="preserve">NO</x:t>
        </x:is>
      </x:c>
    </x:row>
    <x:row r="70">
      <x:c r="A70" s="2" t="inlineStr">
        <x:is>
          <x:t xml:space="preserve">F-041</x:t>
        </x:is>
      </x:c>
      <x:c r="B70" s="2" t="inlineStr">
        <x:is>
          <x:t xml:space="preserve">App store deployment scripts (iOS/Android)</x:t>
        </x:is>
      </x:c>
      <x:c r="C70" s="2" t="inlineStr">
        <x:is>
          <x:t xml:space="preserve">Mobile</x:t>
        </x:is>
      </x:c>
      <x:c r="D70" s="2" t="inlineStr">
        <x:is>
          <x:t xml:space="preserve">Mobile Customer gap: No deployment scripts for store builds/submission.</x:t>
        </x:is>
      </x:c>
      <x:c r="E70" s="2" t="inlineStr">
        <x:is>
          <x:t xml:space="preserve">Low</x:t>
        </x:is>
      </x:c>
      <x:c r="F70" s="2" t="inlineStr">
        <x:is>
          <x:t xml:space="preserve">NO</x:t>
        </x:is>
      </x:c>
    </x:row>
    <x:row r="71">
      <x:c r="A71" s="2" t="inlineStr">
        <x:is>
          <x:t xml:space="preserve">F-041</x:t>
        </x:is>
      </x:c>
      <x:c r="B71" s="2" t="inlineStr">
        <x:is>
          <x:t xml:space="preserve">App store deployment scripts (iOS/Android)</x:t>
        </x:is>
      </x:c>
      <x:c r="C71" s="2" t="inlineStr">
        <x:is>
          <x:t xml:space="preserve">Mobile</x:t>
        </x:is>
      </x:c>
      <x:c r="D71" s="2" t="inlineStr">
        <x:is>
          <x:t xml:space="preserve">Mobile Merchant gap: No deployment scripts for store builds/submission.</x:t>
        </x:is>
      </x:c>
      <x:c r="E71" s="2" t="inlineStr">
        <x:is>
          <x:t xml:space="preserve">Low</x:t>
        </x:is>
      </x:c>
      <x:c r="F71" s="2" t="inlineStr">
        <x:is>
          <x:t xml:space="preserve">NO</x:t>
        </x:is>
      </x:c>
    </x:row>
    <x:row r="72">
      <x:c r="A72" s="2" t="inlineStr">
        <x:is>
          <x:t xml:space="preserve">F-042</x:t>
        </x:is>
      </x:c>
      <x:c r="B72" s="2" t="inlineStr">
        <x:is>
          <x:t xml:space="preserve">Customer referral system (referred_by wired)</x:t>
        </x:is>
      </x:c>
      <x:c r="C72" s="2" t="inlineStr">
        <x:is>
          <x:t xml:space="preserve">Backend</x:t>
        </x:is>
      </x:c>
      <x:c r="D72" s="2" t="inlineStr">
        <x:is>
          <x:t xml:space="preserve">referred_by field exists but not wired.</x:t>
        </x:is>
      </x:c>
      <x:c r="E72" s="2" t="inlineStr">
        <x:is>
          <x:t xml:space="preserve">Low</x:t>
        </x:is>
      </x:c>
      <x:c r="F72" s="2" t="inlineStr">
        <x:is>
          <x:t xml:space="preserve">NO</x:t>
        </x:is>
      </x:c>
    </x:row>
    <x:row r="73">
      <x:c r="A73" s="2" t="inlineStr">
        <x:is>
          <x:t xml:space="preserve">F-042</x:t>
        </x:is>
      </x:c>
      <x:c r="B73" s="2" t="inlineStr">
        <x:is>
          <x:t xml:space="preserve">Customer referral system (referred_by wired)</x:t>
        </x:is>
      </x:c>
      <x:c r="C73" s="2" t="inlineStr">
        <x:is>
          <x:t xml:space="preserve">Mobile</x:t>
        </x:is>
      </x:c>
      <x:c r="D73" s="2" t="inlineStr">
        <x:is>
          <x:t xml:space="preserve">Mobile Customer gap: referred_by field exists but not wired.</x:t>
        </x:is>
      </x:c>
      <x:c r="E73" s="2" t="inlineStr">
        <x:is>
          <x:t xml:space="preserve">Low</x:t>
        </x:is>
      </x:c>
      <x:c r="F73" s="2" t="inlineStr">
        <x:is>
          <x:t xml:space="preserve">NO</x:t>
        </x:is>
      </x:c>
    </x:row>
    <x:row r="74">
      <x:c r="A74" s="2" t="inlineStr">
        <x:is>
          <x:t xml:space="preserve">F-042</x:t>
        </x:is>
      </x:c>
      <x:c r="B74" s="2" t="inlineStr">
        <x:is>
          <x:t xml:space="preserve">Customer referral system (referred_by wired)</x:t>
        </x:is>
      </x:c>
      <x:c r="C74" s="2" t="inlineStr">
        <x:is>
          <x:t xml:space="preserve">Mobile</x:t>
        </x:is>
      </x:c>
      <x:c r="D74" s="2" t="inlineStr">
        <x:is>
          <x:t xml:space="preserve">Mobile Merchant gap: referred_by field exists but not wired.</x:t>
        </x:is>
      </x:c>
      <x:c r="E74" s="2" t="inlineStr">
        <x:is>
          <x:t xml:space="preserve">Low</x:t>
        </x:is>
      </x:c>
      <x:c r="F74" s="2" t="inlineStr">
        <x:is>
          <x:t xml:space="preserve">NO</x:t>
        </x:is>
      </x:c>
    </x:row>
    <x:row r="75">
      <x:c r="A75" s="2" t="inlineStr">
        <x:is>
          <x:t xml:space="preserve">F-043</x:t>
        </x:is>
      </x:c>
      <x:c r="B75" s="2" t="inlineStr">
        <x:is>
          <x:t xml:space="preserve">Advanced analytics (cohort/ML)</x:t>
        </x:is>
      </x:c>
      <x:c r="C75" s="2" t="inlineStr">
        <x:is>
          <x:t xml:space="preserve">Backend</x:t>
        </x:is>
      </x:c>
      <x:c r="D75" s="2" t="inlineStr">
        <x:is>
          <x:t xml:space="preserve">Only basic dashboard; advanced analytics absent.</x:t>
        </x:is>
      </x:c>
      <x:c r="E75" s="2" t="inlineStr">
        <x:is>
          <x:t xml:space="preserve">Low</x:t>
        </x:is>
      </x:c>
      <x:c r="F75" s="2" t="inlineStr">
        <x:is>
          <x:t xml:space="preserve">NO</x:t>
        </x:is>
      </x:c>
    </x:row>
    <x:row r="76">
      <x:c r="A76" s="2" t="inlineStr">
        <x:is>
          <x:t xml:space="preserve">F-043</x:t>
        </x:is>
      </x:c>
      <x:c r="B76" s="2" t="inlineStr">
        <x:is>
          <x:t xml:space="preserve">Advanced analytics (cohort/ML)</x:t>
        </x:is>
      </x:c>
      <x:c r="C76" s="2" t="inlineStr">
        <x:is>
          <x:t xml:space="preserve">Web</x:t>
        </x:is>
      </x:c>
      <x:c r="D76" s="2" t="inlineStr">
        <x:is>
          <x:t xml:space="preserve">Web Admin gap: Only basic dashboard; advanced analytics absent.</x:t>
        </x:is>
      </x:c>
      <x:c r="E76" s="2" t="inlineStr">
        <x:is>
          <x:t xml:space="preserve">Low</x:t>
        </x:is>
      </x:c>
      <x:c r="F76" s="2" t="inlineStr">
        <x:is>
          <x:t xml:space="preserve">NO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customWidth="1"/>
    <x:col min="2" max="2" width="19.799999237060547" customWidth="1"/>
    <x:col min="3" max="3" width="45" customWidth="1"/>
    <x:col min="4" max="4" width="12" customWidth="1"/>
    <x:col min="5" max="5" width="12" customWidth="1"/>
    <x:col min="6" max="6" width="25.299999237060547" customWidth="1"/>
    <x:col min="7" max="7" width="33" customWidth="1"/>
    <x:col min="8" max="8" width="45" customWidth="1"/>
    <x:col min="9" max="9" width="12" customWidth="1"/>
    <x:col min="10" max="10" width="12" customWidth="1"/>
  </x:cols>
  <x:sheetData>
    <x:row r="1" ht="28" customHeight="1">
      <x:c r="A1" s="1" t="inlineStr">
        <x:is>
          <x:t xml:space="preserve">Task_ID</x:t>
        </x:is>
      </x:c>
      <x:c r="B1" s="1" t="inlineStr">
        <x:is>
          <x:t xml:space="preserve">Related_Feature_ID</x:t>
        </x:is>
      </x:c>
      <x:c r="C1" s="1" t="inlineStr">
        <x:is>
          <x:t xml:space="preserve">Task_Description</x:t>
        </x:is>
      </x:c>
      <x:c r="D1" s="1" t="inlineStr">
        <x:is>
          <x:t xml:space="preserve">Layer</x:t>
        </x:is>
      </x:c>
      <x:c r="E1" s="1" t="inlineStr">
        <x:is>
          <x:t xml:space="preserve">Depends_On</x:t>
        </x:is>
      </x:c>
      <x:c r="F1" s="1" t="inlineStr">
        <x:is>
          <x:t xml:space="preserve">Parallelizable (YES/NO)</x:t>
        </x:is>
      </x:c>
      <x:c r="G1" s="1" t="inlineStr">
        <x:is>
          <x:t xml:space="preserve">Status (Open/In Progress/Done)</x:t>
        </x:is>
      </x:c>
      <x:c r="H1" s="1" t="inlineStr">
        <x:is>
          <x:t xml:space="preserve">Output_Expected</x:t>
        </x:is>
      </x:c>
      <x:c r="I1" s="1" t="inlineStr">
        <x:is>
          <x:t xml:space="preserve">Created_At</x:t>
        </x:is>
      </x:c>
      <x:c r="J1" s="1" t="inlineStr">
        <x:is>
          <x:t xml:space="preserve">Updated_At</x:t>
        </x:is>
      </x:c>
    </x:row>
    <x:row r="2">
      <x:c r="A2" s="2" t="inlineStr">
        <x:is>
          <x:t xml:space="preserve">T-0001</x:t>
        </x:is>
      </x:c>
      <x:c r="B2" s="2" t="inlineStr">
        <x:is>
          <x:t xml:space="preserve">F-040</x:t>
        </x:is>
      </x:c>
      <x:c r="C2" s="2" t="inlineStr">
        <x:is>
          <x:t xml:space="preserve">Set up Firebase/Google Secret Manager for QR_TOKEN_SECRET and Stripe keys; remove hardcoded/commented secret checks; add local emulator fallback for tests.</x:t>
        </x:is>
      </x:c>
      <x:c r="D2" s="2" t="inlineStr">
        <x:is>
          <x:t xml:space="preserve">Infra</x:t>
        </x:is>
      </x:c>
      <x:c r="E2" s="2" t="inlineStr">
        <x:is>
          <x:t xml:space="preserve"/>
        </x:is>
      </x:c>
      <x:c r="F2" s="2" t="inlineStr">
        <x:is>
          <x:t xml:space="preserve">YES</x:t>
        </x:is>
      </x:c>
      <x:c r="G2" s="2" t="inlineStr">
        <x:is>
          <x:t xml:space="preserve">Open</x:t>
        </x:is>
      </x:c>
      <x:c r="H2" s="2" t="inlineStr">
        <x:is>
          <x:t xml:space="preserve">Secrets stored in Secret Manager; commented validations removed; security checks passing; evidence log in docs/evidence/runtime_secrets/&lt;ts&gt;/.</x:t>
        </x:is>
      </x:c>
      <x:c r="I2" s="8" t="n">
        <x:v>46030.15761975694</x:v>
      </x:c>
      <x:c r="J2" s="8" t="n">
        <x:v>46030.15761975694</x:v>
      </x:c>
    </x:row>
    <x:row r="3">
      <x:c r="A3" s="2" t="inlineStr">
        <x:is>
          <x:t xml:space="preserve">T-0002</x:t>
        </x:is>
      </x:c>
      <x:c r="B3" s="2" t="inlineStr">
        <x:is>
          <x:t xml:space="preserve">F-010</x:t>
        </x:is>
      </x:c>
      <x:c r="C3" s="2" t="inlineStr">
        <x:is>
          <x:t xml:space="preserve">Enable Cloud Scheduler API and ensure pubsub.schedule functions execute; add health-check function to report scheduler status.</x:t>
        </x:is>
      </x:c>
      <x:c r="D3" s="2" t="inlineStr">
        <x:is>
          <x:t xml:space="preserve">Infra</x:t>
        </x:is>
      </x:c>
      <x:c r="E3" s="2" t="inlineStr">
        <x:is>
          <x:t xml:space="preserve">T-0001</x:t>
        </x:is>
      </x:c>
      <x:c r="F3" s="2" t="inlineStr">
        <x:is>
          <x:t xml:space="preserve">NO</x:t>
        </x:is>
      </x:c>
      <x:c r="G3" s="2" t="inlineStr">
        <x:is>
          <x:t xml:space="preserve">Open</x:t>
        </x:is>
      </x:c>
      <x:c r="H3" s="2" t="inlineStr">
        <x:is>
          <x:t xml:space="preserve">Scheduler running; scheduled functions produce logs; health-check endpoint returns OK; evidence in docs/evidence/runtime_scheduler/&lt;ts&gt;/.</x:t>
        </x:is>
      </x:c>
      <x:c r="I3" s="8" t="n">
        <x:v>46030.15761975694</x:v>
      </x:c>
      <x:c r="J3" s="8" t="n">
        <x:v>46030.15761975694</x:v>
      </x:c>
    </x:row>
    <x:row r="4">
      <x:c r="A4" s="2" t="inlineStr">
        <x:is>
          <x:t xml:space="preserve">T-0003</x:t>
        </x:is>
      </x:c>
      <x:c r="B4" s="2" t="inlineStr">
        <x:is>
          <x:t xml:space="preserve">F-007</x:t>
        </x:is>
      </x:c>
      <x:c r="C4" s="2" t="inlineStr">
        <x:is>
          <x:t xml:space="preserve">Implement minimal subscription purchase UI in Mobile Customer using Stripe (test mode) and wire to backend createCheckout/payment intent.</x:t>
        </x:is>
      </x:c>
      <x:c r="D4" s="2" t="inlineStr">
        <x:is>
          <x:t xml:space="preserve">Mobile</x:t>
        </x:is>
      </x:c>
      <x:c r="E4" s="2" t="inlineStr">
        <x:is>
          <x:t xml:space="preserve">T-0001</x:t>
        </x:is>
      </x:c>
      <x:c r="F4" s="2" t="inlineStr">
        <x:is>
          <x:t xml:space="preserve">YES</x:t>
        </x:is>
      </x:c>
      <x:c r="G4" s="2" t="inlineStr">
        <x:is>
          <x:t xml:space="preserve">Open</x:t>
        </x:is>
      </x:c>
      <x:c r="H4" s="2" t="inlineStr">
        <x:is>
          <x:t xml:space="preserve">Customer can initiate subscription purchase; UI shows success/failure; unit tests pass; screenshot/log artifact.</x:t>
        </x:is>
      </x:c>
      <x:c r="I4" s="8" t="n">
        <x:v>46030.15761975694</x:v>
      </x:c>
      <x:c r="J4" s="8" t="n">
        <x:v>46030.15761975694</x:v>
      </x:c>
    </x:row>
    <x:row r="5">
      <x:c r="A5" s="2" t="inlineStr">
        <x:is>
          <x:t xml:space="preserve">T-0004</x:t>
        </x:is>
      </x:c>
      <x:c r="B5" s="2" t="inlineStr">
        <x:is>
          <x:t xml:space="preserve">F-007</x:t>
        </x:is>
      </x:c>
      <x:c r="C5" s="2" t="inlineStr">
        <x:is>
          <x:t xml:space="preserve">Implement minimal subscription purchase UI in Mobile Merchant (test mode) and wire to backend.</x:t>
        </x:is>
      </x:c>
      <x:c r="D5" s="2" t="inlineStr">
        <x:is>
          <x:t xml:space="preserve">Mobile</x:t>
        </x:is>
      </x:c>
      <x:c r="E5" s="2" t="inlineStr">
        <x:is>
          <x:t xml:space="preserve">T-0001</x:t>
        </x:is>
      </x:c>
      <x:c r="F5" s="2" t="inlineStr">
        <x:is>
          <x:t xml:space="preserve">YES</x:t>
        </x:is>
      </x:c>
      <x:c r="G5" s="2" t="inlineStr">
        <x:is>
          <x:t xml:space="preserve">Open</x:t>
        </x:is>
      </x:c>
      <x:c r="H5" s="2" t="inlineStr">
        <x:is>
          <x:t xml:space="preserve">Merchant can initiate subscription purchase; success updates merchant subscription status; tests pass.</x:t>
        </x:is>
      </x:c>
      <x:c r="I5" s="8" t="n">
        <x:v>46030.15761975694</x:v>
      </x:c>
      <x:c r="J5" s="8" t="n">
        <x:v>46030.15761975694</x:v>
      </x:c>
    </x:row>
    <x:row r="6">
      <x:c r="A6" s="2" t="inlineStr">
        <x:is>
          <x:t xml:space="preserve">T-0005</x:t>
        </x:is>
      </x:c>
      <x:c r="B6" s="2" t="inlineStr">
        <x:is>
          <x:t xml:space="preserve">F-007</x:t>
        </x:is>
      </x:c>
      <x:c r="C6" s="2" t="inlineStr">
        <x:is>
          <x:t xml:space="preserve">Backend: implement subscription purchase endpoints (create customer, create subscription, store payment method reference) behind STRIPE_ENABLED flag; add emulator tests.</x:t>
        </x:is>
      </x:c>
      <x:c r="D6" s="2" t="inlineStr">
        <x:is>
          <x:t xml:space="preserve">Backend</x:t>
        </x:is>
      </x:c>
      <x:c r="E6" s="2" t="inlineStr">
        <x:is>
          <x:t xml:space="preserve">T-0001</x:t>
        </x:is>
      </x:c>
      <x:c r="F6" s="2" t="inlineStr">
        <x:is>
          <x:t xml:space="preserve">NO</x:t>
        </x:is>
      </x:c>
      <x:c r="G6" s="2" t="inlineStr">
        <x:is>
          <x:t xml:space="preserve">Open</x:t>
        </x:is>
      </x:c>
      <x:c r="H6" s="2" t="inlineStr">
        <x:is>
          <x:t xml:space="preserve">Callable/HTTP functions for payment intent/subscription; tests in firebase-functions pass; no hardcoded secrets.</x:t>
        </x:is>
      </x:c>
      <x:c r="I6" s="8" t="n">
        <x:v>46030.15761975694</x:v>
      </x:c>
      <x:c r="J6" s="8" t="n">
        <x:v>46030.15761975694</x:v>
      </x:c>
    </x:row>
    <x:row r="7">
      <x:c r="A7" s="2" t="inlineStr">
        <x:is>
          <x:t xml:space="preserve">T-0006</x:t>
        </x:is>
      </x:c>
      <x:c r="B7" s="2" t="inlineStr">
        <x:is>
          <x:t xml:space="preserve">F-008</x:t>
        </x:is>
      </x:c>
      <x:c r="C7" s="2" t="inlineStr">
        <x:is>
          <x:t xml:space="preserve">Uncomment and complete payment webhook handlers; verify signature validation; update subscription status + record payments; add automated tests.</x:t>
        </x:is>
      </x:c>
      <x:c r="D7" s="2" t="inlineStr">
        <x:is>
          <x:t xml:space="preserve">Backend</x:t>
        </x:is>
      </x:c>
      <x:c r="E7" s="2" t="inlineStr">
        <x:is>
          <x:t xml:space="preserve">T-0001</x:t>
        </x:is>
      </x:c>
      <x:c r="F7" s="2" t="inlineStr">
        <x:is>
          <x:t xml:space="preserve">NO</x:t>
        </x:is>
      </x:c>
      <x:c r="G7" s="2" t="inlineStr">
        <x:is>
          <x:t xml:space="preserve">Open</x:t>
        </x:is>
      </x:c>
      <x:c r="H7" s="2" t="inlineStr">
        <x:is>
          <x:t xml:space="preserve">Webhook endpoints active; tests for event types pass; updated data model docs; evidence logs.</x:t>
        </x:is>
      </x:c>
      <x:c r="I7" s="8" t="n">
        <x:v>46030.15761975694</x:v>
      </x:c>
      <x:c r="J7" s="8" t="n">
        <x:v>46030.15761975694</x:v>
      </x:c>
    </x:row>
    <x:row r="8">
      <x:c r="A8" s="2" t="inlineStr">
        <x:is>
          <x:t xml:space="preserve">T-0007</x:t>
        </x:is>
      </x:c>
      <x:c r="B8" s="2" t="inlineStr">
        <x:is>
          <x:t xml:space="preserve">F-009</x:t>
        </x:is>
      </x:c>
      <x:c r="C8" s="2" t="inlineStr">
        <x:is>
          <x:t xml:space="preserve">Replace simulated auto-renewal with real Stripe charge using saved payment method; integrate with scheduler; add failure notifications.</x:t>
        </x:is>
      </x:c>
      <x:c r="D8" s="2" t="inlineStr">
        <x:is>
          <x:t xml:space="preserve">Backend</x:t>
        </x:is>
      </x:c>
      <x:c r="E8" s="2" t="inlineStr">
        <x:is>
          <x:t xml:space="preserve">T-0002,T-0006</x:t>
        </x:is>
      </x:c>
      <x:c r="F8" s="2" t="inlineStr">
        <x:is>
          <x:t xml:space="preserve">NO</x:t>
        </x:is>
      </x:c>
      <x:c r="G8" s="2" t="inlineStr">
        <x:is>
          <x:t xml:space="preserve">Open</x:t>
        </x:is>
      </x:c>
      <x:c r="H8" s="2" t="inlineStr">
        <x:is>
          <x:t xml:space="preserve">Auto-renewal executes on schedule; failures notify user; evidence logs.</x:t>
        </x:is>
      </x:c>
      <x:c r="I8" s="8" t="n">
        <x:v>46030.15761975694</x:v>
      </x:c>
      <x:c r="J8" s="8" t="n">
        <x:v>46030.15761975694</x:v>
      </x:c>
    </x:row>
    <x:row r="9">
      <x:c r="A9" s="2" t="inlineStr">
        <x:is>
          <x:t xml:space="preserve">T-0008</x:t>
        </x:is>
      </x:c>
      <x:c r="B9" s="2" t="inlineStr">
        <x:is>
          <x:t xml:space="preserve">F-021</x:t>
        </x:is>
      </x:c>
      <x:c r="C9" s="2" t="inlineStr">
        <x:is>
          <x:t xml:space="preserve">Wire phone + OTP authentication end-to-end in mobile apps; integrate sms.ts; add UI flows and tests.</x:t>
        </x:is>
      </x:c>
      <x:c r="D9" s="2" t="inlineStr">
        <x:is>
          <x:t xml:space="preserve">Mobile</x:t>
        </x:is>
      </x:c>
      <x:c r="E9" s="2" t="inlineStr">
        <x:is>
          <x:t xml:space="preserve"/>
        </x:is>
      </x:c>
      <x:c r="F9" s="2" t="inlineStr">
        <x:is>
          <x:t xml:space="preserve">YES</x:t>
        </x:is>
      </x:c>
      <x:c r="G9" s="2" t="inlineStr">
        <x:is>
          <x:t xml:space="preserve">Open</x:t>
        </x:is>
      </x:c>
      <x:c r="H9" s="2" t="inlineStr">
        <x:is>
          <x:t xml:space="preserve">Customer &amp; merchant can sign in via phone/OTP in emulator; flows covered by tests; evidence logs.</x:t>
        </x:is>
      </x:c>
      <x:c r="I9" s="8" t="n">
        <x:v>46030.15761975694</x:v>
      </x:c>
      <x:c r="J9" s="8" t="n">
        <x:v>46030.15761975694</x:v>
      </x:c>
    </x:row>
    <x:row r="10">
      <x:c r="A10" s="2" t="inlineStr">
        <x:is>
          <x:t xml:space="preserve">T-0009</x:t>
        </x:is>
      </x:c>
      <x:c r="B10" s="2" t="inlineStr">
        <x:is>
          <x:t xml:space="preserve">F-022</x:t>
        </x:is>
      </x:c>
      <x:c r="C10" s="2" t="inlineStr">
        <x:is>
          <x:t xml:space="preserve">Integrate Lebanese SMS gateway provider (Alfa/Touch/Ogero) or configurable adapter; update secrets/configs; add stub for testing.</x:t>
        </x:is>
      </x:c>
      <x:c r="D10" s="2" t="inlineStr">
        <x:is>
          <x:t xml:space="preserve">Backend/Infra</x:t>
        </x:is>
      </x:c>
      <x:c r="E10" s="2" t="inlineStr">
        <x:is>
          <x:t xml:space="preserve"/>
        </x:is>
      </x:c>
      <x:c r="F10" s="2" t="inlineStr">
        <x:is>
          <x:t xml:space="preserve">YES</x:t>
        </x:is>
      </x:c>
      <x:c r="G10" s="2" t="inlineStr">
        <x:is>
          <x:t xml:space="preserve">Open</x:t>
        </x:is>
      </x:c>
      <x:c r="H10" s="2" t="inlineStr">
        <x:is>
          <x:t xml:space="preserve">SMS gateway adapter implemented; can switch providers via config; evidence logs.</x:t>
        </x:is>
      </x:c>
      <x:c r="I10" s="8" t="n">
        <x:v>46030.15761975694</x:v>
      </x:c>
      <x:c r="J10" s="8" t="n">
        <x:v>46030.15761975694</x:v>
      </x:c>
    </x:row>
    <x:row r="11">
      <x:c r="A11" s="2" t="inlineStr">
        <x:is>
          <x:t xml:space="preserve">T-0010</x:t>
        </x:is>
      </x:c>
      <x:c r="B11" s="2" t="inlineStr">
        <x:is>
          <x:t xml:space="preserve">F-027</x:t>
        </x:is>
      </x:c>
      <x:c r="C11" s="2" t="inlineStr">
        <x:is>
          <x:t xml:space="preserve">Create iOS signing/provisioning config and CI build step; ensure ios/ project builds in release.</x:t>
        </x:is>
      </x:c>
      <x:c r="D11" s="2" t="inlineStr">
        <x:is>
          <x:t xml:space="preserve">Mobile/Infra</x:t>
        </x:is>
      </x:c>
      <x:c r="E11" s="2" t="inlineStr">
        <x:is>
          <x:t xml:space="preserve"/>
        </x:is>
      </x:c>
      <x:c r="F11" s="2" t="inlineStr">
        <x:is>
          <x:t xml:space="preserve">YES</x:t>
        </x:is>
      </x:c>
      <x:c r="G11" s="2" t="inlineStr">
        <x:is>
          <x:t xml:space="preserve">Open</x:t>
        </x:is>
      </x:c>
      <x:c r="H11" s="2" t="inlineStr">
        <x:is>
          <x:t xml:space="preserve">iOS release build succeeds; signing configured; build artifacts generated.</x:t>
        </x:is>
      </x:c>
      <x:c r="I11" s="8" t="n">
        <x:v>46030.15761975694</x:v>
      </x:c>
      <x:c r="J11" s="8" t="n">
        <x:v>46030.15761975694</x:v>
      </x:c>
    </x:row>
    <x:row r="12">
      <x:c r="A12" s="2" t="inlineStr">
        <x:is>
          <x:t xml:space="preserve">T-0011</x:t>
        </x:is>
      </x:c>
      <x:c r="B12" s="2" t="inlineStr">
        <x:is>
          <x:t xml:space="preserve">F-028</x:t>
        </x:is>
      </x:c>
      <x:c r="C12" s="2" t="inlineStr">
        <x:is>
          <x:t xml:space="preserve">Configure Android keystore + signing configs; ensure release APK/AAB builds.</x:t>
        </x:is>
      </x:c>
      <x:c r="D12" s="2" t="inlineStr">
        <x:is>
          <x:t xml:space="preserve">Mobile/Infra</x:t>
        </x:is>
      </x:c>
      <x:c r="E12" s="2" t="inlineStr">
        <x:is>
          <x:t xml:space="preserve"/>
        </x:is>
      </x:c>
      <x:c r="F12" s="2" t="inlineStr">
        <x:is>
          <x:t xml:space="preserve">YES</x:t>
        </x:is>
      </x:c>
      <x:c r="G12" s="2" t="inlineStr">
        <x:is>
          <x:t xml:space="preserve">Open</x:t>
        </x:is>
      </x:c>
      <x:c r="H12" s="2" t="inlineStr">
        <x:is>
          <x:t xml:space="preserve">Android release build succeeds; signed artifact generated.</x:t>
        </x:is>
      </x:c>
      <x:c r="I12" s="8" t="n">
        <x:v>46030.15761975694</x:v>
      </x:c>
      <x:c r="J12" s="8" t="n">
        <x:v>46030.15761975694</x:v>
      </x:c>
    </x:row>
    <x:row r="13">
      <x:c r="A13" s="2" t="inlineStr">
        <x:is>
          <x:t xml:space="preserve">T-0012</x:t>
        </x:is>
      </x:c>
      <x:c r="B13" s="2" t="inlineStr">
        <x:is>
          <x:t xml:space="preserve">F-011</x:t>
        </x:is>
      </x:c>
      <x:c r="C13" s="2" t="inlineStr">
        <x:is>
          <x:t xml:space="preserve">Verify QR token cleanup job runs daily; add manual trigger + monitoring logs; write tests.</x:t>
        </x:is>
      </x:c>
      <x:c r="D13" s="2" t="inlineStr">
        <x:is>
          <x:t xml:space="preserve">Backend</x:t>
        </x:is>
      </x:c>
      <x:c r="E13" s="2" t="inlineStr">
        <x:is>
          <x:t xml:space="preserve">T-0002</x:t>
        </x:is>
      </x:c>
      <x:c r="F13" s="2" t="inlineStr">
        <x:is>
          <x:t xml:space="preserve">YES</x:t>
        </x:is>
      </x:c>
      <x:c r="G13" s="2" t="inlineStr">
        <x:is>
          <x:t xml:space="preserve">Open</x:t>
        </x:is>
      </x:c>
      <x:c r="H13" s="2" t="inlineStr">
        <x:is>
          <x:t xml:space="preserve">Cleanup job executes; tokens older than 7 days soft-deleted; evidence logs.</x:t>
        </x:is>
      </x:c>
      <x:c r="I13" s="8" t="n">
        <x:v>46030.15761975694</x:v>
      </x:c>
      <x:c r="J13" s="8" t="n">
        <x:v>46030.15761975694</x:v>
      </x:c>
    </x:row>
    <x:row r="14">
      <x:c r="A14" s="2" t="inlineStr">
        <x:is>
          <x:t xml:space="preserve">T-0013</x:t>
        </x:is>
      </x:c>
      <x:c r="B14" s="2" t="inlineStr">
        <x:is>
          <x:t xml:space="preserve">F-015</x:t>
        </x:is>
      </x:c>
      <x:c r="C14" s="2" t="inlineStr">
        <x:is>
          <x:t xml:space="preserve">Implement merchant compliance (&gt;=5 offers) enforcement in merchant UX and catalog gating; add warnings.</x:t>
        </x:is>
      </x:c>
      <x:c r="D14" s="2" t="inlineStr">
        <x:is>
          <x:t xml:space="preserve">Backend/Mobile</x:t>
        </x:is>
      </x:c>
      <x:c r="E14" s="2" t="inlineStr">
        <x:is>
          <x:t xml:space="preserve">T-0002</x:t>
        </x:is>
      </x:c>
      <x:c r="F14" s="2" t="inlineStr">
        <x:is>
          <x:t xml:space="preserve">YES</x:t>
        </x:is>
      </x:c>
      <x:c r="G14" s="2" t="inlineStr">
        <x:is>
          <x:t xml:space="preserve">Open</x:t>
        </x:is>
      </x:c>
      <x:c r="H14" s="2" t="inlineStr">
        <x:is>
          <x:t xml:space="preserve">Merchants warned; offers hidden until compliant; tests + logs.</x:t>
        </x:is>
      </x:c>
      <x:c r="I14" s="8" t="n">
        <x:v>46030.15761975694</x:v>
      </x:c>
      <x:c r="J14" s="8" t="n">
        <x:v>46030.15761975694</x:v>
      </x:c>
    </x:row>
    <x:row r="15">
      <x:c r="A15" s="2" t="inlineStr">
        <x:is>
          <x:t xml:space="preserve">T-0014</x:t>
        </x:is>
      </x:c>
      <x:c r="B15" s="2" t="inlineStr">
        <x:is>
          <x:t xml:space="preserve">F-016</x:t>
        </x:is>
      </x:c>
      <x:c r="C15" s="2" t="inlineStr">
        <x:is>
          <x:t xml:space="preserve">Enable and verify subscription/offer expiry reminders; ensure scheduler executes; add templates.</x:t>
        </x:is>
      </x:c>
      <x:c r="D15" s="2" t="inlineStr">
        <x:is>
          <x:t xml:space="preserve">Backend</x:t>
        </x:is>
      </x:c>
      <x:c r="E15" s="2" t="inlineStr">
        <x:is>
          <x:t xml:space="preserve">T-0002</x:t>
        </x:is>
      </x:c>
      <x:c r="F15" s="2" t="inlineStr">
        <x:is>
          <x:t xml:space="preserve">YES</x:t>
        </x:is>
      </x:c>
      <x:c r="G15" s="2" t="inlineStr">
        <x:is>
          <x:t xml:space="preserve">Open</x:t>
        </x:is>
      </x:c>
      <x:c r="H15" s="2" t="inlineStr">
        <x:is>
          <x:t xml:space="preserve">Reminders sent; logs + tests.</x:t>
        </x:is>
      </x:c>
      <x:c r="I15" s="8" t="n">
        <x:v>46030.15761975694</x:v>
      </x:c>
      <x:c r="J15" s="8" t="n">
        <x:v>46030.15761975694</x:v>
      </x:c>
    </x:row>
    <x:row r="16">
      <x:c r="A16" s="2" t="inlineStr">
        <x:is>
          <x:t xml:space="preserve">T-0015</x:t>
        </x:is>
      </x:c>
      <x:c r="B16" s="2" t="inlineStr">
        <x:is>
          <x:t xml:space="preserve">F-023</x:t>
        </x:is>
      </x:c>
      <x:c r="C16" s="2" t="inlineStr">
        <x:is>
          <x:t xml:space="preserve">Add i18n framework (Arabic+English) across mobile apps and web admin; start with key screens.</x:t>
        </x:is>
      </x:c>
      <x:c r="D16" s="2" t="inlineStr">
        <x:is>
          <x:t xml:space="preserve">Full Stack</x:t>
        </x:is>
      </x:c>
      <x:c r="E16" s="2" t="inlineStr">
        <x:is>
          <x:t xml:space="preserve"/>
        </x:is>
      </x:c>
      <x:c r="F16" s="2" t="inlineStr">
        <x:is>
          <x:t xml:space="preserve">YES</x:t>
        </x:is>
      </x:c>
      <x:c r="G16" s="2" t="inlineStr">
        <x:is>
          <x:t xml:space="preserve">Open</x:t>
        </x:is>
      </x:c>
      <x:c r="H16" s="2" t="inlineStr">
        <x:is>
          <x:t xml:space="preserve">Localization works; Arabic strings loaded; tests for locale switch.</x:t>
        </x:is>
      </x:c>
      <x:c r="I16" s="8" t="n">
        <x:v>46030.15761975694</x:v>
      </x:c>
      <x:c r="J16" s="8" t="n">
        <x:v>46030.15761975694</x:v>
      </x:c>
    </x:row>
    <x:row r="17">
      <x:c r="A17" s="2" t="inlineStr">
        <x:is>
          <x:t xml:space="preserve">T-0016</x:t>
        </x:is>
      </x:c>
      <x:c r="B17" s="2" t="inlineStr">
        <x:is>
          <x:t xml:space="preserve">F-031</x:t>
        </x:is>
      </x:c>
      <x:c r="C17" s="2" t="inlineStr">
        <x:is>
          <x:t xml:space="preserve">Enable GDPR data export function and add UI entry point (web admin + mobile) with email delivery or download.</x:t>
        </x:is>
      </x:c>
      <x:c r="D17" s="2" t="inlineStr">
        <x:is>
          <x:t xml:space="preserve">Full Stack</x:t>
        </x:is>
      </x:c>
      <x:c r="E17" s="2" t="inlineStr">
        <x:is>
          <x:t xml:space="preserve"/>
        </x:is>
      </x:c>
      <x:c r="F17" s="2" t="inlineStr">
        <x:is>
          <x:t xml:space="preserve">YES</x:t>
        </x:is>
      </x:c>
      <x:c r="G17" s="2" t="inlineStr">
        <x:is>
          <x:t xml:space="preserve">Open</x:t>
        </x:is>
      </x:c>
      <x:c r="H17" s="2" t="inlineStr">
        <x:is>
          <x:t xml:space="preserve">User can request export; data generated; audit trail recorded.</x:t>
        </x:is>
      </x:c>
      <x:c r="I17" s="8" t="n">
        <x:v>46030.15761975694</x:v>
      </x:c>
      <x:c r="J17" s="8" t="n">
        <x:v>46030.15761975694</x:v>
      </x:c>
    </x:row>
    <x:row r="18">
      <x:c r="A18" s="2" t="inlineStr">
        <x:is>
          <x:t xml:space="preserve">T-0017</x:t>
        </x:is>
      </x:c>
      <x:c r="B18" s="2" t="inlineStr">
        <x:is>
          <x:t xml:space="preserve">F-032</x:t>
        </x:is>
      </x:c>
      <x:c r="C18" s="2" t="inlineStr">
        <x:is>
          <x:t xml:space="preserve">Enable GDPR data deletion and add UI flow (confirm, delay window); ensure compliance logs.</x:t>
        </x:is>
      </x:c>
      <x:c r="D18" s="2" t="inlineStr">
        <x:is>
          <x:t xml:space="preserve">Full Stack</x:t>
        </x:is>
      </x:c>
      <x:c r="E18" s="2" t="inlineStr">
        <x:is>
          <x:t xml:space="preserve"/>
        </x:is>
      </x:c>
      <x:c r="F18" s="2" t="inlineStr">
        <x:is>
          <x:t xml:space="preserve">YES</x:t>
        </x:is>
      </x:c>
      <x:c r="G18" s="2" t="inlineStr">
        <x:is>
          <x:t xml:space="preserve">Open</x:t>
        </x:is>
      </x:c>
      <x:c r="H18" s="2" t="inlineStr">
        <x:is>
          <x:t xml:space="preserve">Deletion request flow works; user data deleted; evidence logs.</x:t>
        </x:is>
      </x:c>
      <x:c r="I18" s="8" t="n">
        <x:v>46030.15761975694</x:v>
      </x:c>
      <x:c r="J18" s="8" t="n">
        <x:v>46030.15761975694</x:v>
      </x:c>
    </x:row>
    <x:row r="19">
      <x:c r="A19" s="2" t="inlineStr">
        <x:is>
          <x:t xml:space="preserve">T-0018</x:t>
        </x:is>
      </x:c>
      <x:c r="B19" s="2" t="inlineStr">
        <x:is>
          <x:t xml:space="preserve">F-033</x:t>
        </x:is>
      </x:c>
      <x:c r="C19" s="2" t="inlineStr">
        <x:is>
          <x:t xml:space="preserve">Configure production monitoring (Sentry/Datadog) for backend/web/mobile; add alerting defaults.</x:t>
        </x:is>
      </x:c>
      <x:c r="D19" s="2" t="inlineStr">
        <x:is>
          <x:t xml:space="preserve">Infra</x:t>
        </x:is>
      </x:c>
      <x:c r="E19" s="2" t="inlineStr">
        <x:is>
          <x:t xml:space="preserve"/>
        </x:is>
      </x:c>
      <x:c r="F19" s="2" t="inlineStr">
        <x:is>
          <x:t xml:space="preserve">YES</x:t>
        </x:is>
      </x:c>
      <x:c r="G19" s="2" t="inlineStr">
        <x:is>
          <x:t xml:space="preserve">Open</x:t>
        </x:is>
      </x:c>
      <x:c r="H19" s="2" t="inlineStr">
        <x:is>
          <x:t xml:space="preserve">Errors captured; alerts configured; DSNs stored in secrets.</x:t>
        </x:is>
      </x:c>
      <x:c r="I19" s="8" t="n">
        <x:v>46030.15761975694</x:v>
      </x:c>
      <x:c r="J19" s="8" t="n">
        <x:v>46030.15761975694</x:v>
      </x:c>
    </x:row>
    <x:row r="20">
      <x:c r="A20" s="2" t="inlineStr">
        <x:is>
          <x:t xml:space="preserve">T-0019</x:t>
        </x:is>
      </x:c>
      <x:c r="B20" s="2" t="inlineStr">
        <x:is>
          <x:t xml:space="preserve">F-034</x:t>
        </x:is>
      </x:c>
      <x:c r="C20" s="2" t="inlineStr">
        <x:is>
          <x:t xml:space="preserve">Implement rate limiting for callable/HTTP functions; add tests.</x:t>
        </x:is>
      </x:c>
      <x:c r="D20" s="2" t="inlineStr">
        <x:is>
          <x:t xml:space="preserve">Backend</x:t>
        </x:is>
      </x:c>
      <x:c r="E20" s="2" t="inlineStr">
        <x:is>
          <x:t xml:space="preserve"/>
        </x:is>
      </x:c>
      <x:c r="F20" s="2" t="inlineStr">
        <x:is>
          <x:t xml:space="preserve">YES</x:t>
        </x:is>
      </x:c>
      <x:c r="G20" s="2" t="inlineStr">
        <x:is>
          <x:t xml:space="preserve">Open</x:t>
        </x:is>
      </x:c>
      <x:c r="H20" s="2" t="inlineStr">
        <x:is>
          <x:t xml:space="preserve">Rate limits enforced; abuse tests pass.</x:t>
        </x:is>
      </x:c>
      <x:c r="I20" s="8" t="n">
        <x:v>46030.15761975694</x:v>
      </x:c>
      <x:c r="J20" s="8" t="n">
        <x:v>46030.15761975694</x:v>
      </x:c>
    </x:row>
    <x:row r="21">
      <x:c r="A21" s="2" t="inlineStr">
        <x:is>
          <x:t xml:space="preserve">T-0020</x:t>
        </x:is>
      </x:c>
      <x:c r="B21" s="2" t="inlineStr">
        <x:is>
          <x:t xml:space="preserve">F-035</x:t>
        </x:is>
      </x:c>
      <x:c r="C21" s="2" t="inlineStr">
        <x:is>
          <x:t xml:space="preserve">Enforce input validation across all functions; reject invalid payloads; add schema tests.</x:t>
        </x:is>
      </x:c>
      <x:c r="D21" s="2" t="inlineStr">
        <x:is>
          <x:t xml:space="preserve">Backend</x:t>
        </x:is>
      </x:c>
      <x:c r="E21" s="2" t="inlineStr">
        <x:is>
          <x:t xml:space="preserve"/>
        </x:is>
      </x:c>
      <x:c r="F21" s="2" t="inlineStr">
        <x:is>
          <x:t xml:space="preserve">YES</x:t>
        </x:is>
      </x:c>
      <x:c r="G21" s="2" t="inlineStr">
        <x:is>
          <x:t xml:space="preserve">Open</x:t>
        </x:is>
      </x:c>
      <x:c r="H21" s="2" t="inlineStr">
        <x:is>
          <x:t xml:space="preserve">All endpoints validate inputs; tests pass.</x:t>
        </x:is>
      </x:c>
      <x:c r="I21" s="8" t="n">
        <x:v>46030.15761975694</x:v>
      </x:c>
      <x:c r="J21" s="8" t="n">
        <x:v>46030.15761975694</x:v>
      </x:c>
    </x:row>
    <x:row r="22">
      <x:c r="A22" s="2" t="inlineStr">
        <x:is>
          <x:t xml:space="preserve">T-0021</x:t>
        </x:is>
      </x:c>
      <x:c r="B22" s="2" t="inlineStr">
        <x:is>
          <x:t xml:space="preserve">F-036</x:t>
        </x:is>
      </x:c>
      <x:c r="C22" s="2" t="inlineStr">
        <x:is>
          <x:t xml:space="preserve">Implement audit logging collection + web admin viewer; log critical mutations and auth events.</x:t>
        </x:is>
      </x:c>
      <x:c r="D22" s="2" t="inlineStr">
        <x:is>
          <x:t xml:space="preserve">Full Stack</x:t>
        </x:is>
      </x:c>
      <x:c r="E22" s="2" t="inlineStr">
        <x:is>
          <x:t xml:space="preserve"/>
        </x:is>
      </x:c>
      <x:c r="F22" s="2" t="inlineStr">
        <x:is>
          <x:t xml:space="preserve">YES</x:t>
        </x:is>
      </x:c>
      <x:c r="G22" s="2" t="inlineStr">
        <x:is>
          <x:t xml:space="preserve">Open</x:t>
        </x:is>
      </x:c>
      <x:c r="H22" s="2" t="inlineStr">
        <x:is>
          <x:t xml:space="preserve">Audit logs written; viewer shows searchable logs; tests pass.</x:t>
        </x:is>
      </x:c>
      <x:c r="I22" s="8" t="n">
        <x:v>46030.15761975694</x:v>
      </x:c>
      <x:c r="J22" s="8" t="n">
        <x:v>46030.15761975694</x:v>
      </x:c>
    </x:row>
    <x:row r="23">
      <x:c r="A23" s="2" t="inlineStr">
        <x:is>
          <x:t xml:space="preserve">T-0022</x:t>
        </x:is>
      </x:c>
      <x:c r="B23" s="2" t="inlineStr">
        <x:is>
          <x:t xml:space="preserve">F-037</x:t>
        </x:is>
      </x:c>
      <x:c r="C23" s="2" t="inlineStr">
        <x:is>
          <x:t xml:space="preserve">Automate Firestore backups (scheduled export) with retention and restore drill.</x:t>
        </x:is>
      </x:c>
      <x:c r="D23" s="2" t="inlineStr">
        <x:is>
          <x:t xml:space="preserve">Infra</x:t>
        </x:is>
      </x:c>
      <x:c r="E23" s="2" t="inlineStr">
        <x:is>
          <x:t xml:space="preserve"/>
        </x:is>
      </x:c>
      <x:c r="F23" s="2" t="inlineStr">
        <x:is>
          <x:t xml:space="preserve">YES</x:t>
        </x:is>
      </x:c>
      <x:c r="G23" s="2" t="inlineStr">
        <x:is>
          <x:t xml:space="preserve">Open</x:t>
        </x:is>
      </x:c>
      <x:c r="H23" s="2" t="inlineStr">
        <x:is>
          <x:t xml:space="preserve">Backups run automatically; retention enforced; restore tested.</x:t>
        </x:is>
      </x:c>
      <x:c r="I23" s="8" t="n">
        <x:v>46030.15761975694</x:v>
      </x:c>
      <x:c r="J23" s="8" t="n">
        <x:v>46030.15761975694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45" customWidth="1"/>
    <x:col min="4" max="4" width="13.199999809265137" customWidth="1"/>
    <x:col min="5" max="5" width="16.5" customWidth="1"/>
    <x:col min="6" max="6" width="45" customWidth="1"/>
    <x:col min="7" max="7" width="41.79999923706055" customWidth="1"/>
    <x:col min="8" max="8" width="24.200000762939453" customWidth="1"/>
    <x:col min="9" max="9" width="45" customWidth="1"/>
  </x:cols>
  <x:sheetData>
    <x:row r="1" ht="28" customHeight="1">
      <x:c r="A1" s="1" t="inlineStr">
        <x:is>
          <x:t xml:space="preserve">Prompt_ID</x:t>
        </x:is>
      </x:c>
      <x:c r="B1" s="1" t="inlineStr">
        <x:is>
          <x:t xml:space="preserve">Run_At</x:t>
        </x:is>
      </x:c>
      <x:c r="C1" s="1" t="inlineStr">
        <x:is>
          <x:t xml:space="preserve">Prompt_Text</x:t>
        </x:is>
      </x:c>
      <x:c r="D1" s="1" t="inlineStr">
        <x:is>
          <x:t xml:space="preserve">Target_Layer</x:t>
        </x:is>
      </x:c>
      <x:c r="E1" s="1" t="inlineStr">
        <x:is>
          <x:t xml:space="preserve">Expected_Output</x:t>
        </x:is>
      </x:c>
      <x:c r="F1" s="1" t="inlineStr">
        <x:is>
          <x:t xml:space="preserve">Result_Summary</x:t>
        </x:is>
      </x:c>
      <x:c r="G1" s="1" t="inlineStr">
        <x:is>
          <x:t xml:space="preserve">Result_Status (Success/Partial/Failed)</x:t>
        </x:is>
      </x:c>
      <x:c r="H1" s="1" t="inlineStr">
        <x:is>
          <x:t xml:space="preserve">Excel_Updated (YES/NO)</x:t>
        </x:is>
      </x:c>
      <x:c r="I1" s="1" t="inlineStr">
        <x:is>
          <x:t xml:space="preserve">Notes</x:t>
        </x:is>
      </x:c>
    </x:row>
    <x:row r="2">
      <x:c r="A2" s="2" t="inlineStr">
        <x:is>
          <x:t xml:space="preserve">P-0001</x:t>
        </x:is>
      </x:c>
      <x:c r="B2" s="8" t="n">
        <x:v>46030.15761975694</x:v>
      </x:c>
      <x:c r="C2" s="2" t="inlineStr">
        <x:is>
          <x:t xml:space="preserve">You are working in the Urban Points Lebanon repo.
GOAL (highest-impact next step):
Deliver **end-to-end Customer Subscription Payment** in TEST MODE so we can prove real revenue flow.
This run targets:
- Feature **F-007** (Subscription payments enabled + deployed) — currently NOT working
- Feature **F-008** (Payment webhook handlers) — currently NOT working
Related backlog tasks:
- **T-0001** (Secrets to Secret Manager)
- **T-0003** (Mobile Customer purchase UI)
- **T-0005** (Backend subscription purchase endpoints)
- **T-0006** (Webhook handlers)
CONSTRAINTS (brutal reality rules):
- If it doesn’t work end-to-end in local emulators with Stripe test keys, it is NOT DONE.
- No manual steps preferred: make scripts/commands that fully reproduce the proof.
- Do NOT add optimistic TODOs. If blocked by missing credentials, add a failing test + explicit error output.
FILES YOU MUST TOUCH (only as needed):
Backend
- source/backend/firebase-functions/src/stripe.ts
- source/backend/firebase-functions/src/paymentWebhooks.ts
- source/backend/firebase-functions/src/subscriptionAutomation.ts
- source/backend/firebase-functions/src/index.ts (exports / flags / wiring)
Mobile Customer
- source/apps/mobile-customer/lib/** (add minimal purchase UI + service wiring)
Shared docs/evidence
- docs/evidence/runtime_payments/&lt;RUN_TS&gt;/ (create)
DELIVERABLES (must be produced by you):
1) Code changes implementing:
   - Stripe enabled flag behavior (no STRIPE_ENABLED="0" hard-disable in test mode)
   - Backend endpoint(s): createCheckoutSession OR createPaymentIntent + createSubscription
   - Persist subscription status in the user/customer model
   - Webhook handlers enabled (signature verification + idempotency) updating subscription status
   - Mobile Customer UI: “Subscribe” screen/button that calls the backend and shows Success/Failure
2) Automated proof artifacts under docs/evidence/runtime_payments/&lt;RUN_TS&gt;/:
   - backend_emulator_log.txt
   - stripe_webhook_test_log.txt
   - mobile_customer_flow_log.txt (from an automated integration test or scripted run)
   - verdict.json containing:
     {
       "run_ts": "&lt;RUN_TS&gt;",
       "feature_ids": ["F-007","F-008"],
       "end_to_end_working": true/false,
       "evidence": ["&lt;paths to logs&gt;"]
     }
ACCEPTANCE TESTS (commands + expected outcomes):
Backend:
- cd source/backend/firebase-functions
- npm ci
- npm test
  EXPECT: tests pass (including webhook idempotency + subscription state update tests)
- firebase emulators:exec --only functions,firestore "node ./scripts/prove_payments.js"
  EXPECT: script returns exit code 0 AND writes logs to docs/evidence/runtime_payments/&lt;RUN_TS&gt;/
Mobile Customer:
- cd source/apps/mobile-customer
- flutter pub get
- flutter analyze
  EXPECT: 0 errors
- flutter test
  EXPECT: all tests pass
- (If you add an integration_test) run it via a single script and pipe output to mobile_customer_flow_log.txt
IMPLEMENTATION NOTES (don’t skip):
- Add strict idempotency for webhooks (use event.id and/or payment_intent id as a processed-events store).
- Do not store Stripe secrets in code. Read them from Secret Manager / env vars.
- If Secret Manager is not available locally, implement an emulator-friendly env var fallback used ONLY in local tests, and document it in the proof script output.
When finished:
- Print a short summary of what you changed.
- Print the exact commands that produced the evidence logs.
</x:t>
        </x:is>
      </x:c>
      <x:c r="D2" s="2" t="inlineStr">
        <x:is>
          <x:t xml:space="preserve">Full Stack</x:t>
        </x:is>
      </x:c>
      <x:c r="E2" s="2" t="inlineStr">
        <x:is>
          <x:t xml:space="preserve">Proof of F-007/F-008 end-to-end in local emulators + evidence artifacts</x:t>
        </x:is>
      </x:c>
      <x:c r="F2" s="2" t="inlineStr">
        <x:is>
          <x:t xml:space="preserve">Prompt generated in this run; no code execution performed here.</x:t>
        </x:is>
      </x:c>
      <x:c r="G2" s="2" t="inlineStr">
        <x:is>
          <x:t xml:space="preserve">Partial</x:t>
        </x:is>
      </x:c>
      <x:c r="H2" s="2" t="inlineStr">
        <x:is>
          <x:t xml:space="preserve">YES</x:t>
        </x:is>
      </x:c>
      <x:c r="I2" s="2" t="inlineStr">
        <x:is>
          <x:t xml:space="preserve">Next step: run in repo and update tracker with runtime evidence.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45" customWidth="1"/>
  </x:cols>
  <x:sheetData>
    <x:row r="1" ht="28" customHeight="1">
      <x:c r="A1" s="1" t="inlineStr">
        <x:is>
          <x:t xml:space="preserve">Change_ID</x:t>
        </x:is>
      </x:c>
      <x:c r="B1" s="1" t="inlineStr">
        <x:is>
          <x:t xml:space="preserve">Run_At</x:t>
        </x:is>
      </x:c>
      <x:c r="C1" s="1" t="inlineStr">
        <x:is>
          <x:t xml:space="preserve">Sheet</x:t>
        </x:is>
      </x:c>
      <x:c r="D1" s="1" t="inlineStr">
        <x:is>
          <x:t xml:space="preserve">Row_Key</x:t>
        </x:is>
      </x:c>
      <x:c r="E1" s="1" t="inlineStr">
        <x:is>
          <x:t xml:space="preserve">Field</x:t>
        </x:is>
      </x:c>
      <x:c r="F1" s="1" t="inlineStr">
        <x:is>
          <x:t xml:space="preserve">Old_Value</x:t>
        </x:is>
      </x:c>
      <x:c r="G1" s="1" t="inlineStr">
        <x:is>
          <x:t xml:space="preserve">New_Value</x:t>
        </x:is>
      </x:c>
      <x:c r="H1" s="1" t="inlineStr">
        <x:is>
          <x:t xml:space="preserve">Reason</x:t>
        </x:is>
      </x:c>
      <x:c r="I1" s="1" t="inlineStr">
        <x:is>
          <x:t xml:space="preserve">Evidence_Ref</x:t>
        </x:is>
      </x:c>
    </x:row>
    <x:row r="2">
      <x:c r="A2" s="2" t="inlineStr">
        <x:is>
          <x:t xml:space="preserve">C-000001</x:t>
        </x:is>
      </x:c>
      <x:c r="B2" s="8" t="n">
        <x:v>46030.15761975694</x:v>
      </x:c>
      <x:c r="C2" s="2" t="inlineStr">
        <x:is>
          <x:t xml:space="preserve">FULL_STACK_FEATURE_MATRIX</x:t>
        </x:is>
      </x:c>
      <x:c r="D2" s="2" t="inlineStr">
        <x:is>
          <x:t xml:space="preserve">__SCHEMA__</x:t>
        </x:is>
      </x:c>
      <x:c r="E2" s="2" t="inlineStr">
        <x:is>
          <x:t xml:space="preserve">Columns</x:t>
        </x:is>
      </x:c>
      <x:c r="F2" s="2" t="inlineStr">
        <x:is>
          <x:t xml:space="preserve">Included extra GAP columns + dynamic array formulas</x:t>
        </x:is>
      </x:c>
      <x:c r="G2" s="2" t="inlineStr">
        <x:is>
          <x:t xml:space="preserve">Clean schema + added Last_Updated_At/By + Evidence_Ref; removed dynamic arrays</x:t>
        </x:is>
      </x:c>
      <x:c r="H2" s="2" t="inlineStr">
        <x:is>
          <x:t xml:space="preserve">Phase A: enforce 0-gaps OS schema; remove junk columns; add timestamp tracking.</x:t>
        </x:is>
      </x:c>
      <x:c r="I2" s="2" t="inlineStr">
        <x:is>
          <x:t xml:space="preserve">N/A</x:t>
        </x:is>
      </x:c>
    </x:row>
    <x:row r="3">
      <x:c r="A3" s="2" t="inlineStr">
        <x:is>
          <x:t xml:space="preserve">C-000002</x:t>
        </x:is>
      </x:c>
      <x:c r="B3" s="8" t="n">
        <x:v>46030.15761975694</x:v>
      </x:c>
      <x:c r="C3" s="2" t="inlineStr">
        <x:is>
          <x:t xml:space="preserve">FULL_STACK_FEATURE_MATRIX</x:t>
        </x:is>
      </x:c>
      <x:c r="D3" s="2" t="inlineStr">
        <x:is>
          <x:t xml:space="preserve">F-001</x:t>
        </x:is>
      </x:c>
      <x:c r="E3" s="2" t="inlineStr">
        <x:is>
          <x:t xml:space="preserve">Blocker_Description</x:t>
        </x:is>
      </x:c>
      <x:c r="F3" s="2" t="inlineStr">
        <x:is>
          <x:t xml:space="preserve">End-to-end wired + enforced per report.</x:t>
        </x:is>
      </x:c>
      <x:c r="G3" s="2" t="inlineStr">
        <x:is>
          <x:t xml:space="preserve"/>
        </x:is>
      </x:c>
      <x:c r="H3" s="2" t="inlineStr">
        <x:is>
          <x:t xml:space="preserve">Rebased to PDF brutal-evidence rules for this run.</x:t>
        </x:is>
      </x:c>
      <x:c r="I3" s="2" t="inlineStr">
        <x:is>
          <x:t xml:space="preserve">PDF p2 'Offer Discovery' table (Overall MATCHED)</x:t>
        </x:is>
      </x:c>
    </x:row>
    <x:row r="4">
      <x:c r="A4" s="2" t="inlineStr">
        <x:is>
          <x:t xml:space="preserve">C-000003</x:t>
        </x:is>
      </x:c>
      <x:c r="B4" s="8" t="n">
        <x:v>46030.15761975694</x:v>
      </x:c>
      <x:c r="C4" s="2" t="inlineStr">
        <x:is>
          <x:t xml:space="preserve">FULL_STACK_FEATURE_MATRIX</x:t>
        </x:is>
      </x:c>
      <x:c r="D4" s="2" t="inlineStr">
        <x:is>
          <x:t xml:space="preserve">F-001</x:t>
        </x:is>
      </x:c>
      <x:c r="E4" s="2" t="inlineStr">
        <x:is>
          <x:t xml:space="preserve">Priority</x:t>
        </x:is>
      </x:c>
      <x:c r="F4" s="2" t="inlineStr">
        <x:is>
          <x:t xml:space="preserve">P1</x:t>
        </x:is>
      </x:c>
      <x:c r="G4" s="2" t="inlineStr">
        <x:is>
          <x:t xml:space="preserve">P2</x:t>
        </x:is>
      </x:c>
      <x:c r="H4" s="2" t="inlineStr">
        <x:is>
          <x:t xml:space="preserve">Rebased to PDF brutal-evidence rules for this run.</x:t>
        </x:is>
      </x:c>
      <x:c r="I4" s="2" t="inlineStr">
        <x:is>
          <x:t xml:space="preserve">PDF p2 'Offer Discovery' table (Overall MATCHED)</x:t>
        </x:is>
      </x:c>
    </x:row>
    <x:row r="5">
      <x:c r="A5" s="2" t="inlineStr">
        <x:is>
          <x:t xml:space="preserve">C-000004</x:t>
        </x:is>
      </x:c>
      <x:c r="B5" s="8" t="n">
        <x:v>46030.15761975694</x:v>
      </x:c>
      <x:c r="C5" s="2" t="inlineStr">
        <x:is>
          <x:t xml:space="preserve">FULL_STACK_FEATURE_MATRIX</x:t>
        </x:is>
      </x:c>
      <x:c r="D5" s="2" t="inlineStr">
        <x:is>
          <x:t xml:space="preserve">F-001</x:t>
        </x:is>
      </x:c>
      <x:c r="E5" s="2" t="inlineStr">
        <x:is>
          <x:t xml:space="preserve">Execution_Order</x:t>
        </x:is>
      </x:c>
      <x:c r="F5" s="2" t="inlineStr">
        <x:is>
          <x:t xml:space="preserve">1</x:t>
        </x:is>
      </x:c>
      <x:c r="G5" s="2" t="inlineStr">
        <x:is>
          <x:t xml:space="preserve">21</x:t>
        </x:is>
      </x:c>
      <x:c r="H5" s="2" t="inlineStr">
        <x:is>
          <x:t xml:space="preserve">Rebased to PDF brutal-evidence rules for this run.</x:t>
        </x:is>
      </x:c>
      <x:c r="I5" s="2" t="inlineStr">
        <x:is>
          <x:t xml:space="preserve">PDF p2 'Offer Discovery' table (Overall MATCHED)</x:t>
        </x:is>
      </x:c>
    </x:row>
    <x:row r="6">
      <x:c r="A6" s="2" t="inlineStr">
        <x:is>
          <x:t xml:space="preserve">C-000005</x:t>
        </x:is>
      </x:c>
      <x:c r="B6" s="8" t="n">
        <x:v>46030.15761975694</x:v>
      </x:c>
      <x:c r="C6" s="2" t="inlineStr">
        <x:is>
          <x:t xml:space="preserve">FULL_STACK_FEATURE_MATRIX</x:t>
        </x:is>
      </x:c>
      <x:c r="D6" s="2" t="inlineStr">
        <x:is>
          <x:t xml:space="preserve">F-001</x:t>
        </x:is>
      </x:c>
      <x:c r="E6" s="2" t="inlineStr">
        <x:is>
          <x:t xml:space="preserve">Last_Updated_At</x:t>
        </x:is>
      </x:c>
      <x:c r="F6" s="2" t="inlineStr">
        <x:is>
          <x:t xml:space="preserve"/>
        </x:is>
      </x:c>
      <x:c r="G6" s="2" t="inlineStr">
        <x:is>
          <x:t xml:space="preserve">2026-01-08 03:46:58</x:t>
        </x:is>
      </x:c>
      <x:c r="H6" s="2" t="inlineStr">
        <x:is>
          <x:t xml:space="preserve">Timestamp tracking added.</x:t>
        </x:is>
      </x:c>
      <x:c r="I6" s="2" t="inlineStr">
        <x:is>
          <x:t xml:space="preserve">PDF p2 'Offer Discovery' table (Overall MATCHED)</x:t>
        </x:is>
      </x:c>
    </x:row>
    <x:row r="7">
      <x:c r="A7" s="2" t="inlineStr">
        <x:is>
          <x:t xml:space="preserve">C-000006</x:t>
        </x:is>
      </x:c>
      <x:c r="B7" s="8" t="n">
        <x:v>46030.15761975694</x:v>
      </x:c>
      <x:c r="C7" s="2" t="inlineStr">
        <x:is>
          <x:t xml:space="preserve">FULL_STACK_FEATURE_MATRIX</x:t>
        </x:is>
      </x:c>
      <x:c r="D7" s="2" t="inlineStr">
        <x:is>
          <x:t xml:space="preserve">F-001</x:t>
        </x:is>
      </x:c>
      <x:c r="E7" s="2" t="inlineStr">
        <x:is>
          <x:t xml:space="preserve">Last_Updated_By</x:t>
        </x:is>
      </x:c>
      <x:c r="F7" s="2" t="inlineStr">
        <x:is>
          <x:t xml:space="preserve"/>
        </x:is>
      </x:c>
      <x:c r="G7" s="2" t="inlineStr">
        <x:is>
          <x:t xml:space="preserve">ChatGPT</x:t>
        </x:is>
      </x:c>
      <x:c r="H7" s="2" t="inlineStr">
        <x:is>
          <x:t xml:space="preserve">Timestamp tracking added.</x:t>
        </x:is>
      </x:c>
      <x:c r="I7" s="2" t="inlineStr">
        <x:is>
          <x:t xml:space="preserve">PDF p2 'Offer Discovery' table (Overall MATCHED)</x:t>
        </x:is>
      </x:c>
    </x:row>
    <x:row r="8">
      <x:c r="A8" s="2" t="inlineStr">
        <x:is>
          <x:t xml:space="preserve">C-000007</x:t>
        </x:is>
      </x:c>
      <x:c r="B8" s="8" t="n">
        <x:v>46030.15761975694</x:v>
      </x:c>
      <x:c r="C8" s="2" t="inlineStr">
        <x:is>
          <x:t xml:space="preserve">FULL_STACK_FEATURE_MATRIX</x:t>
        </x:is>
      </x:c>
      <x:c r="D8" s="2" t="inlineStr">
        <x:is>
          <x:t xml:space="preserve">F-001</x:t>
        </x:is>
      </x:c>
      <x:c r="E8" s="2" t="inlineStr">
        <x:is>
          <x:t xml:space="preserve">Evidence_Ref</x:t>
        </x:is>
      </x:c>
      <x:c r="F8" s="2" t="inlineStr">
        <x:is>
          <x:t xml:space="preserve"/>
        </x:is>
      </x:c>
      <x:c r="G8" s="2" t="inlineStr">
        <x:is>
          <x:t xml:space="preserve">PDF p2 'Offer Discovery' table (Overall MATCHED)</x:t>
        </x:is>
      </x:c>
      <x:c r="H8" s="2" t="inlineStr">
        <x:is>
          <x:t xml:space="preserve">Evidence tracking added.</x:t>
        </x:is>
      </x:c>
      <x:c r="I8" s="2" t="inlineStr">
        <x:is>
          <x:t xml:space="preserve">PDF p2 'Offer Discovery' table (Overall MATCHED)</x:t>
        </x:is>
      </x:c>
    </x:row>
    <x:row r="9">
      <x:c r="A9" s="2" t="inlineStr">
        <x:is>
          <x:t xml:space="preserve">C-000008</x:t>
        </x:is>
      </x:c>
      <x:c r="B9" s="8" t="n">
        <x:v>46030.15761975694</x:v>
      </x:c>
      <x:c r="C9" s="2" t="inlineStr">
        <x:is>
          <x:t xml:space="preserve">FULL_STACK_FEATURE_MATRIX</x:t>
        </x:is>
      </x:c>
      <x:c r="D9" s="2" t="inlineStr">
        <x:is>
          <x:t xml:space="preserve">F-002</x:t>
        </x:is>
      </x:c>
      <x:c r="E9" s="2" t="inlineStr">
        <x:is>
          <x:t xml:space="preserve">Blocker_Description</x:t>
        </x:is>
      </x:c>
      <x:c r="F9" s="2" t="inlineStr">
        <x:is>
          <x:t xml:space="preserve">Full stack enforced.</x:t>
        </x:is>
      </x:c>
      <x:c r="G9" s="2" t="inlineStr">
        <x:is>
          <x:t xml:space="preserve"/>
        </x:is>
      </x:c>
      <x:c r="H9" s="2" t="inlineStr">
        <x:is>
          <x:t xml:space="preserve">Rebased to PDF brutal-evidence rules for this run.</x:t>
        </x:is>
      </x:c>
      <x:c r="I9" s="2" t="inlineStr">
        <x:is>
          <x:t xml:space="preserve">PDF p2-3 'QR Generation &amp; Redemption' (60s expiry) + SECTION 4 item 2</x:t>
        </x:is>
      </x:c>
    </x:row>
    <x:row r="10">
      <x:c r="A10" s="2" t="inlineStr">
        <x:is>
          <x:t xml:space="preserve">C-000009</x:t>
        </x:is>
      </x:c>
      <x:c r="B10" s="8" t="n">
        <x:v>46030.15761975694</x:v>
      </x:c>
      <x:c r="C10" s="2" t="inlineStr">
        <x:is>
          <x:t xml:space="preserve">FULL_STACK_FEATURE_MATRIX</x:t>
        </x:is>
      </x:c>
      <x:c r="D10" s="2" t="inlineStr">
        <x:is>
          <x:t xml:space="preserve">F-002</x:t>
        </x:is>
      </x:c>
      <x:c r="E10" s="2" t="inlineStr">
        <x:is>
          <x:t xml:space="preserve">Priority</x:t>
        </x:is>
      </x:c>
      <x:c r="F10" s="2" t="inlineStr">
        <x:is>
          <x:t xml:space="preserve">P1</x:t>
        </x:is>
      </x:c>
      <x:c r="G10" s="2" t="inlineStr">
        <x:is>
          <x:t xml:space="preserve">P2</x:t>
        </x:is>
      </x:c>
      <x:c r="H10" s="2" t="inlineStr">
        <x:is>
          <x:t xml:space="preserve">Rebased to PDF brutal-evidence rules for this run.</x:t>
        </x:is>
      </x:c>
      <x:c r="I10" s="2" t="inlineStr">
        <x:is>
          <x:t xml:space="preserve">PDF p2-3 'QR Generation &amp; Redemption' (60s expiry) + SECTION 4 item 2</x:t>
        </x:is>
      </x:c>
    </x:row>
    <x:row r="11">
      <x:c r="A11" s="2" t="inlineStr">
        <x:is>
          <x:t xml:space="preserve">C-000010</x:t>
        </x:is>
      </x:c>
      <x:c r="B11" s="8" t="n">
        <x:v>46030.15761975694</x:v>
      </x:c>
      <x:c r="C11" s="2" t="inlineStr">
        <x:is>
          <x:t xml:space="preserve">FULL_STACK_FEATURE_MATRIX</x:t>
        </x:is>
      </x:c>
      <x:c r="D11" s="2" t="inlineStr">
        <x:is>
          <x:t xml:space="preserve">F-002</x:t>
        </x:is>
      </x:c>
      <x:c r="E11" s="2" t="inlineStr">
        <x:is>
          <x:t xml:space="preserve">Execution_Order</x:t>
        </x:is>
      </x:c>
      <x:c r="F11" s="2" t="inlineStr">
        <x:is>
          <x:t xml:space="preserve">2</x:t>
        </x:is>
      </x:c>
      <x:c r="G11" s="2" t="inlineStr">
        <x:is>
          <x:t xml:space="preserve">22</x:t>
        </x:is>
      </x:c>
      <x:c r="H11" s="2" t="inlineStr">
        <x:is>
          <x:t xml:space="preserve">Rebased to PDF brutal-evidence rules for this run.</x:t>
        </x:is>
      </x:c>
      <x:c r="I11" s="2" t="inlineStr">
        <x:is>
          <x:t xml:space="preserve">PDF p2-3 'QR Generation &amp; Redemption' (60s expiry) + SECTION 4 item 2</x:t>
        </x:is>
      </x:c>
    </x:row>
    <x:row r="12">
      <x:c r="A12" s="2" t="inlineStr">
        <x:is>
          <x:t xml:space="preserve">C-000011</x:t>
        </x:is>
      </x:c>
      <x:c r="B12" s="8" t="n">
        <x:v>46030.15761975694</x:v>
      </x:c>
      <x:c r="C12" s="2" t="inlineStr">
        <x:is>
          <x:t xml:space="preserve">FULL_STACK_FEATURE_MATRIX</x:t>
        </x:is>
      </x:c>
      <x:c r="D12" s="2" t="inlineStr">
        <x:is>
          <x:t xml:space="preserve">F-002</x:t>
        </x:is>
      </x:c>
      <x:c r="E12" s="2" t="inlineStr">
        <x:is>
          <x:t xml:space="preserve">Last_Updated_At</x:t>
        </x:is>
      </x:c>
      <x:c r="F12" s="2" t="inlineStr">
        <x:is>
          <x:t xml:space="preserve"/>
        </x:is>
      </x:c>
      <x:c r="G12" s="2" t="inlineStr">
        <x:is>
          <x:t xml:space="preserve">2026-01-08 03:46:58</x:t>
        </x:is>
      </x:c>
      <x:c r="H12" s="2" t="inlineStr">
        <x:is>
          <x:t xml:space="preserve">Timestamp tracking added.</x:t>
        </x:is>
      </x:c>
      <x:c r="I12" s="2" t="inlineStr">
        <x:is>
          <x:t xml:space="preserve">PDF p2-3 'QR Generation &amp; Redemption' (60s expiry) + SECTION 4 item 2</x:t>
        </x:is>
      </x:c>
    </x:row>
    <x:row r="13">
      <x:c r="A13" s="2" t="inlineStr">
        <x:is>
          <x:t xml:space="preserve">C-000012</x:t>
        </x:is>
      </x:c>
      <x:c r="B13" s="8" t="n">
        <x:v>46030.15761975694</x:v>
      </x:c>
      <x:c r="C13" s="2" t="inlineStr">
        <x:is>
          <x:t xml:space="preserve">FULL_STACK_FEATURE_MATRIX</x:t>
        </x:is>
      </x:c>
      <x:c r="D13" s="2" t="inlineStr">
        <x:is>
          <x:t xml:space="preserve">F-002</x:t>
        </x:is>
      </x:c>
      <x:c r="E13" s="2" t="inlineStr">
        <x:is>
          <x:t xml:space="preserve">Last_Updated_By</x:t>
        </x:is>
      </x:c>
      <x:c r="F13" s="2" t="inlineStr">
        <x:is>
          <x:t xml:space="preserve"/>
        </x:is>
      </x:c>
      <x:c r="G13" s="2" t="inlineStr">
        <x:is>
          <x:t xml:space="preserve">ChatGPT</x:t>
        </x:is>
      </x:c>
      <x:c r="H13" s="2" t="inlineStr">
        <x:is>
          <x:t xml:space="preserve">Timestamp tracking added.</x:t>
        </x:is>
      </x:c>
      <x:c r="I13" s="2" t="inlineStr">
        <x:is>
          <x:t xml:space="preserve">PDF p2-3 'QR Generation &amp; Redemption' (60s expiry) + SECTION 4 item 2</x:t>
        </x:is>
      </x:c>
    </x:row>
    <x:row r="14">
      <x:c r="A14" s="2" t="inlineStr">
        <x:is>
          <x:t xml:space="preserve">C-000013</x:t>
        </x:is>
      </x:c>
      <x:c r="B14" s="8" t="n">
        <x:v>46030.15761975694</x:v>
      </x:c>
      <x:c r="C14" s="2" t="inlineStr">
        <x:is>
          <x:t xml:space="preserve">FULL_STACK_FEATURE_MATRIX</x:t>
        </x:is>
      </x:c>
      <x:c r="D14" s="2" t="inlineStr">
        <x:is>
          <x:t xml:space="preserve">F-002</x:t>
        </x:is>
      </x:c>
      <x:c r="E14" s="2" t="inlineStr">
        <x:is>
          <x:t xml:space="preserve">Evidence_Ref</x:t>
        </x:is>
      </x:c>
      <x:c r="F14" s="2" t="inlineStr">
        <x:is>
          <x:t xml:space="preserve"/>
        </x:is>
      </x:c>
      <x:c r="G14" s="2" t="inlineStr">
        <x:is>
          <x:t xml:space="preserve">PDF p2-3 'QR Generation &amp; Redemption' (60s expiry) + SECTION 4 item 2</x:t>
        </x:is>
      </x:c>
      <x:c r="H14" s="2" t="inlineStr">
        <x:is>
          <x:t xml:space="preserve">Evidence tracking added.</x:t>
        </x:is>
      </x:c>
      <x:c r="I14" s="2" t="inlineStr">
        <x:is>
          <x:t xml:space="preserve">PDF p2-3 'QR Generation &amp; Redemption' (60s expiry) + SECTION 4 item 2</x:t>
        </x:is>
      </x:c>
    </x:row>
    <x:row r="15">
      <x:c r="A15" s="2" t="inlineStr">
        <x:is>
          <x:t xml:space="preserve">C-000014</x:t>
        </x:is>
      </x:c>
      <x:c r="B15" s="8" t="n">
        <x:v>46030.15761975694</x:v>
      </x:c>
      <x:c r="C15" s="2" t="inlineStr">
        <x:is>
          <x:t xml:space="preserve">FULL_STACK_FEATURE_MATRIX</x:t>
        </x:is>
      </x:c>
      <x:c r="D15" s="2" t="inlineStr">
        <x:is>
          <x:t xml:space="preserve">F-003</x:t>
        </x:is>
      </x:c>
      <x:c r="E15" s="2" t="inlineStr">
        <x:is>
          <x:t xml:space="preserve">Blocker_Description</x:t>
        </x:is>
      </x:c>
      <x:c r="F15" s="2" t="inlineStr">
        <x:is>
          <x:t xml:space="preserve">Full stack enforced.</x:t>
        </x:is>
      </x:c>
      <x:c r="G15" s="2" t="inlineStr">
        <x:is>
          <x:t xml:space="preserve"/>
        </x:is>
      </x:c>
      <x:c r="H15" s="2" t="inlineStr">
        <x:is>
          <x:t xml:space="preserve">Rebased to PDF brutal-evidence rules for this run.</x:t>
        </x:is>
      </x:c>
      <x:c r="I15" s="2" t="inlineStr">
        <x:is>
          <x:t xml:space="preserve">PDF p2-3 'QR Generation &amp; Redemption' (PIN generation/entry/validation) + SECTION 4 item 3</x:t>
        </x:is>
      </x:c>
    </x:row>
    <x:row r="16">
      <x:c r="A16" s="2" t="inlineStr">
        <x:is>
          <x:t xml:space="preserve">C-000015</x:t>
        </x:is>
      </x:c>
      <x:c r="B16" s="8" t="n">
        <x:v>46030.15761975694</x:v>
      </x:c>
      <x:c r="C16" s="2" t="inlineStr">
        <x:is>
          <x:t xml:space="preserve">FULL_STACK_FEATURE_MATRIX</x:t>
        </x:is>
      </x:c>
      <x:c r="D16" s="2" t="inlineStr">
        <x:is>
          <x:t xml:space="preserve">F-003</x:t>
        </x:is>
      </x:c>
      <x:c r="E16" s="2" t="inlineStr">
        <x:is>
          <x:t xml:space="preserve">Priority</x:t>
        </x:is>
      </x:c>
      <x:c r="F16" s="2" t="inlineStr">
        <x:is>
          <x:t xml:space="preserve">P1</x:t>
        </x:is>
      </x:c>
      <x:c r="G16" s="2" t="inlineStr">
        <x:is>
          <x:t xml:space="preserve">P2</x:t>
        </x:is>
      </x:c>
      <x:c r="H16" s="2" t="inlineStr">
        <x:is>
          <x:t xml:space="preserve">Rebased to PDF brutal-evidence rules for this run.</x:t>
        </x:is>
      </x:c>
      <x:c r="I16" s="2" t="inlineStr">
        <x:is>
          <x:t xml:space="preserve">PDF p2-3 'QR Generation &amp; Redemption' (PIN generation/entry/validation) + SECTION 4 item 3</x:t>
        </x:is>
      </x:c>
    </x:row>
    <x:row r="17">
      <x:c r="A17" s="2" t="inlineStr">
        <x:is>
          <x:t xml:space="preserve">C-000016</x:t>
        </x:is>
      </x:c>
      <x:c r="B17" s="8" t="n">
        <x:v>46030.15761975694</x:v>
      </x:c>
      <x:c r="C17" s="2" t="inlineStr">
        <x:is>
          <x:t xml:space="preserve">FULL_STACK_FEATURE_MATRIX</x:t>
        </x:is>
      </x:c>
      <x:c r="D17" s="2" t="inlineStr">
        <x:is>
          <x:t xml:space="preserve">F-003</x:t>
        </x:is>
      </x:c>
      <x:c r="E17" s="2" t="inlineStr">
        <x:is>
          <x:t xml:space="preserve">Execution_Order</x:t>
        </x:is>
      </x:c>
      <x:c r="F17" s="2" t="inlineStr">
        <x:is>
          <x:t xml:space="preserve">3</x:t>
        </x:is>
      </x:c>
      <x:c r="G17" s="2" t="inlineStr">
        <x:is>
          <x:t xml:space="preserve">23</x:t>
        </x:is>
      </x:c>
      <x:c r="H17" s="2" t="inlineStr">
        <x:is>
          <x:t xml:space="preserve">Rebased to PDF brutal-evidence rules for this run.</x:t>
        </x:is>
      </x:c>
      <x:c r="I17" s="2" t="inlineStr">
        <x:is>
          <x:t xml:space="preserve">PDF p2-3 'QR Generation &amp; Redemption' (PIN generation/entry/validation) + SECTION 4 item 3</x:t>
        </x:is>
      </x:c>
    </x:row>
    <x:row r="18">
      <x:c r="A18" s="2" t="inlineStr">
        <x:is>
          <x:t xml:space="preserve">C-000017</x:t>
        </x:is>
      </x:c>
      <x:c r="B18" s="8" t="n">
        <x:v>46030.15761975694</x:v>
      </x:c>
      <x:c r="C18" s="2" t="inlineStr">
        <x:is>
          <x:t xml:space="preserve">FULL_STACK_FEATURE_MATRIX</x:t>
        </x:is>
      </x:c>
      <x:c r="D18" s="2" t="inlineStr">
        <x:is>
          <x:t xml:space="preserve">F-003</x:t>
        </x:is>
      </x:c>
      <x:c r="E18" s="2" t="inlineStr">
        <x:is>
          <x:t xml:space="preserve">Last_Updated_At</x:t>
        </x:is>
      </x:c>
      <x:c r="F18" s="2" t="inlineStr">
        <x:is>
          <x:t xml:space="preserve"/>
        </x:is>
      </x:c>
      <x:c r="G18" s="2" t="inlineStr">
        <x:is>
          <x:t xml:space="preserve">2026-01-08 03:46:58</x:t>
        </x:is>
      </x:c>
      <x:c r="H18" s="2" t="inlineStr">
        <x:is>
          <x:t xml:space="preserve">Timestamp tracking added.</x:t>
        </x:is>
      </x:c>
      <x:c r="I18" s="2" t="inlineStr">
        <x:is>
          <x:t xml:space="preserve">PDF p2-3 'QR Generation &amp; Redemption' (PIN generation/entry/validation) + SECTION 4 item 3</x:t>
        </x:is>
      </x:c>
    </x:row>
    <x:row r="19">
      <x:c r="A19" s="2" t="inlineStr">
        <x:is>
          <x:t xml:space="preserve">C-000018</x:t>
        </x:is>
      </x:c>
      <x:c r="B19" s="8" t="n">
        <x:v>46030.15761975694</x:v>
      </x:c>
      <x:c r="C19" s="2" t="inlineStr">
        <x:is>
          <x:t xml:space="preserve">FULL_STACK_FEATURE_MATRIX</x:t>
        </x:is>
      </x:c>
      <x:c r="D19" s="2" t="inlineStr">
        <x:is>
          <x:t xml:space="preserve">F-003</x:t>
        </x:is>
      </x:c>
      <x:c r="E19" s="2" t="inlineStr">
        <x:is>
          <x:t xml:space="preserve">Last_Updated_By</x:t>
        </x:is>
      </x:c>
      <x:c r="F19" s="2" t="inlineStr">
        <x:is>
          <x:t xml:space="preserve"/>
        </x:is>
      </x:c>
      <x:c r="G19" s="2" t="inlineStr">
        <x:is>
          <x:t xml:space="preserve">ChatGPT</x:t>
        </x:is>
      </x:c>
      <x:c r="H19" s="2" t="inlineStr">
        <x:is>
          <x:t xml:space="preserve">Timestamp tracking added.</x:t>
        </x:is>
      </x:c>
      <x:c r="I19" s="2" t="inlineStr">
        <x:is>
          <x:t xml:space="preserve">PDF p2-3 'QR Generation &amp; Redemption' (PIN generation/entry/validation) + SECTION 4 item 3</x:t>
        </x:is>
      </x:c>
    </x:row>
    <x:row r="20">
      <x:c r="A20" s="2" t="inlineStr">
        <x:is>
          <x:t xml:space="preserve">C-000019</x:t>
        </x:is>
      </x:c>
      <x:c r="B20" s="8" t="n">
        <x:v>46030.15761975694</x:v>
      </x:c>
      <x:c r="C20" s="2" t="inlineStr">
        <x:is>
          <x:t xml:space="preserve">FULL_STACK_FEATURE_MATRIX</x:t>
        </x:is>
      </x:c>
      <x:c r="D20" s="2" t="inlineStr">
        <x:is>
          <x:t xml:space="preserve">F-003</x:t>
        </x:is>
      </x:c>
      <x:c r="E20" s="2" t="inlineStr">
        <x:is>
          <x:t xml:space="preserve">Evidence_Ref</x:t>
        </x:is>
      </x:c>
      <x:c r="F20" s="2" t="inlineStr">
        <x:is>
          <x:t xml:space="preserve"/>
        </x:is>
      </x:c>
      <x:c r="G20" s="2" t="inlineStr">
        <x:is>
          <x:t xml:space="preserve">PDF p2-3 'QR Generation &amp; Redemption' (PIN generation/entry/validation) + SECTION 4 item 3</x:t>
        </x:is>
      </x:c>
      <x:c r="H20" s="2" t="inlineStr">
        <x:is>
          <x:t xml:space="preserve">Evidence tracking added.</x:t>
        </x:is>
      </x:c>
      <x:c r="I20" s="2" t="inlineStr">
        <x:is>
          <x:t xml:space="preserve">PDF p2-3 'QR Generation &amp; Redemption' (PIN generation/entry/validation) + SECTION 4 item 3</x:t>
        </x:is>
      </x:c>
    </x:row>
    <x:row r="21">
      <x:c r="A21" s="2" t="inlineStr">
        <x:is>
          <x:t xml:space="preserve">C-000020</x:t>
        </x:is>
      </x:c>
      <x:c r="B21" s="8" t="n">
        <x:v>46030.15761975694</x:v>
      </x:c>
      <x:c r="C21" s="2" t="inlineStr">
        <x:is>
          <x:t xml:space="preserve">FULL_STACK_FEATURE_MATRIX</x:t>
        </x:is>
      </x:c>
      <x:c r="D21" s="2" t="inlineStr">
        <x:is>
          <x:t xml:space="preserve">F-004</x:t>
        </x:is>
      </x:c>
      <x:c r="E21" s="2" t="inlineStr">
        <x:is>
          <x:t xml:space="preserve">Blocker_Description</x:t>
        </x:is>
      </x:c>
      <x:c r="F21" s="2" t="inlineStr">
        <x:is>
          <x:t xml:space="preserve">Prevents double-spend.</x:t>
        </x:is>
      </x:c>
      <x:c r="G21" s="2" t="inlineStr">
        <x:is>
          <x:t xml:space="preserve"/>
        </x:is>
      </x:c>
      <x:c r="H21" s="2" t="inlineStr">
        <x:is>
          <x:t xml:space="preserve">Rebased to PDF brutal-evidence rules for this run.</x:t>
        </x:is>
      </x:c>
      <x:c r="I21" s="2" t="inlineStr">
        <x:is>
          <x:t xml:space="preserve">PDF p3 'Redemption idempotency check' + SECTION 4 item 4</x:t>
        </x:is>
      </x:c>
    </x:row>
    <x:row r="22">
      <x:c r="A22" s="2" t="inlineStr">
        <x:is>
          <x:t xml:space="preserve">C-000021</x:t>
        </x:is>
      </x:c>
      <x:c r="B22" s="8" t="n">
        <x:v>46030.15761975694</x:v>
      </x:c>
      <x:c r="C22" s="2" t="inlineStr">
        <x:is>
          <x:t xml:space="preserve">FULL_STACK_FEATURE_MATRIX</x:t>
        </x:is>
      </x:c>
      <x:c r="D22" s="2" t="inlineStr">
        <x:is>
          <x:t xml:space="preserve">F-004</x:t>
        </x:is>
      </x:c>
      <x:c r="E22" s="2" t="inlineStr">
        <x:is>
          <x:t xml:space="preserve">Priority</x:t>
        </x:is>
      </x:c>
      <x:c r="F22" s="2" t="inlineStr">
        <x:is>
          <x:t xml:space="preserve">P0</x:t>
        </x:is>
      </x:c>
      <x:c r="G22" s="2" t="inlineStr">
        <x:is>
          <x:t xml:space="preserve">P2</x:t>
        </x:is>
      </x:c>
      <x:c r="H22" s="2" t="inlineStr">
        <x:is>
          <x:t xml:space="preserve">Rebased to PDF brutal-evidence rules for this run.</x:t>
        </x:is>
      </x:c>
      <x:c r="I22" s="2" t="inlineStr">
        <x:is>
          <x:t xml:space="preserve">PDF p3 'Redemption idempotency check' + SECTION 4 item 4</x:t>
        </x:is>
      </x:c>
    </x:row>
    <x:row r="23">
      <x:c r="A23" s="2" t="inlineStr">
        <x:is>
          <x:t xml:space="preserve">C-000022</x:t>
        </x:is>
      </x:c>
      <x:c r="B23" s="8" t="n">
        <x:v>46030.15761975694</x:v>
      </x:c>
      <x:c r="C23" s="2" t="inlineStr">
        <x:is>
          <x:t xml:space="preserve">FULL_STACK_FEATURE_MATRIX</x:t>
        </x:is>
      </x:c>
      <x:c r="D23" s="2" t="inlineStr">
        <x:is>
          <x:t xml:space="preserve">F-004</x:t>
        </x:is>
      </x:c>
      <x:c r="E23" s="2" t="inlineStr">
        <x:is>
          <x:t xml:space="preserve">Execution_Order</x:t>
        </x:is>
      </x:c>
      <x:c r="F23" s="2" t="inlineStr">
        <x:is>
          <x:t xml:space="preserve">4</x:t>
        </x:is>
      </x:c>
      <x:c r="G23" s="2" t="inlineStr">
        <x:is>
          <x:t xml:space="preserve">24</x:t>
        </x:is>
      </x:c>
      <x:c r="H23" s="2" t="inlineStr">
        <x:is>
          <x:t xml:space="preserve">Rebased to PDF brutal-evidence rules for this run.</x:t>
        </x:is>
      </x:c>
      <x:c r="I23" s="2" t="inlineStr">
        <x:is>
          <x:t xml:space="preserve">PDF p3 'Redemption idempotency check' + SECTION 4 item 4</x:t>
        </x:is>
      </x:c>
    </x:row>
    <x:row r="24">
      <x:c r="A24" s="2" t="inlineStr">
        <x:is>
          <x:t xml:space="preserve">C-000023</x:t>
        </x:is>
      </x:c>
      <x:c r="B24" s="8" t="n">
        <x:v>46030.15761975694</x:v>
      </x:c>
      <x:c r="C24" s="2" t="inlineStr">
        <x:is>
          <x:t xml:space="preserve">FULL_STACK_FEATURE_MATRIX</x:t>
        </x:is>
      </x:c>
      <x:c r="D24" s="2" t="inlineStr">
        <x:is>
          <x:t xml:space="preserve">F-004</x:t>
        </x:is>
      </x:c>
      <x:c r="E24" s="2" t="inlineStr">
        <x:is>
          <x:t xml:space="preserve">Last_Updated_At</x:t>
        </x:is>
      </x:c>
      <x:c r="F24" s="2" t="inlineStr">
        <x:is>
          <x:t xml:space="preserve"/>
        </x:is>
      </x:c>
      <x:c r="G24" s="2" t="inlineStr">
        <x:is>
          <x:t xml:space="preserve">2026-01-08 03:46:58</x:t>
        </x:is>
      </x:c>
      <x:c r="H24" s="2" t="inlineStr">
        <x:is>
          <x:t xml:space="preserve">Timestamp tracking added.</x:t>
        </x:is>
      </x:c>
      <x:c r="I24" s="2" t="inlineStr">
        <x:is>
          <x:t xml:space="preserve">PDF p3 'Redemption idempotency check' + SECTION 4 item 4</x:t>
        </x:is>
      </x:c>
    </x:row>
    <x:row r="25">
      <x:c r="A25" s="2" t="inlineStr">
        <x:is>
          <x:t xml:space="preserve">C-000024</x:t>
        </x:is>
      </x:c>
      <x:c r="B25" s="8" t="n">
        <x:v>46030.15761975694</x:v>
      </x:c>
      <x:c r="C25" s="2" t="inlineStr">
        <x:is>
          <x:t xml:space="preserve">FULL_STACK_FEATURE_MATRIX</x:t>
        </x:is>
      </x:c>
      <x:c r="D25" s="2" t="inlineStr">
        <x:is>
          <x:t xml:space="preserve">F-004</x:t>
        </x:is>
      </x:c>
      <x:c r="E25" s="2" t="inlineStr">
        <x:is>
          <x:t xml:space="preserve">Last_Updated_By</x:t>
        </x:is>
      </x:c>
      <x:c r="F25" s="2" t="inlineStr">
        <x:is>
          <x:t xml:space="preserve"/>
        </x:is>
      </x:c>
      <x:c r="G25" s="2" t="inlineStr">
        <x:is>
          <x:t xml:space="preserve">ChatGPT</x:t>
        </x:is>
      </x:c>
      <x:c r="H25" s="2" t="inlineStr">
        <x:is>
          <x:t xml:space="preserve">Timestamp tracking added.</x:t>
        </x:is>
      </x:c>
      <x:c r="I25" s="2" t="inlineStr">
        <x:is>
          <x:t xml:space="preserve">PDF p3 'Redemption idempotency check' + SECTION 4 item 4</x:t>
        </x:is>
      </x:c>
    </x:row>
    <x:row r="26">
      <x:c r="A26" s="2" t="inlineStr">
        <x:is>
          <x:t xml:space="preserve">C-000025</x:t>
        </x:is>
      </x:c>
      <x:c r="B26" s="8" t="n">
        <x:v>46030.15761975694</x:v>
      </x:c>
      <x:c r="C26" s="2" t="inlineStr">
        <x:is>
          <x:t xml:space="preserve">FULL_STACK_FEATURE_MATRIX</x:t>
        </x:is>
      </x:c>
      <x:c r="D26" s="2" t="inlineStr">
        <x:is>
          <x:t xml:space="preserve">F-004</x:t>
        </x:is>
      </x:c>
      <x:c r="E26" s="2" t="inlineStr">
        <x:is>
          <x:t xml:space="preserve">Evidence_Ref</x:t>
        </x:is>
      </x:c>
      <x:c r="F26" s="2" t="inlineStr">
        <x:is>
          <x:t xml:space="preserve"/>
        </x:is>
      </x:c>
      <x:c r="G26" s="2" t="inlineStr">
        <x:is>
          <x:t xml:space="preserve">PDF p3 'Redemption idempotency check' + SECTION 4 item 4</x:t>
        </x:is>
      </x:c>
      <x:c r="H26" s="2" t="inlineStr">
        <x:is>
          <x:t xml:space="preserve">Evidence tracking added.</x:t>
        </x:is>
      </x:c>
      <x:c r="I26" s="2" t="inlineStr">
        <x:is>
          <x:t xml:space="preserve">PDF p3 'Redemption idempotency check' + SECTION 4 item 4</x:t>
        </x:is>
      </x:c>
    </x:row>
    <x:row r="27">
      <x:c r="A27" s="2" t="inlineStr">
        <x:is>
          <x:t xml:space="preserve">C-000026</x:t>
        </x:is>
      </x:c>
      <x:c r="B27" s="8" t="n">
        <x:v>46030.15761975694</x:v>
      </x:c>
      <x:c r="C27" s="2" t="inlineStr">
        <x:is>
          <x:t xml:space="preserve">FULL_STACK_FEATURE_MATRIX</x:t>
        </x:is>
      </x:c>
      <x:c r="D27" s="2" t="inlineStr">
        <x:is>
          <x:t xml:space="preserve">F-005</x:t>
        </x:is>
      </x:c>
      <x:c r="E27" s="2" t="inlineStr">
        <x:is>
          <x:t xml:space="preserve">Blocker_Description</x:t>
        </x:is>
      </x:c>
      <x:c r="F27" s="2" t="inlineStr">
        <x:is>
          <x:t xml:space="preserve">Fully wired.</x:t>
        </x:is>
      </x:c>
      <x:c r="G27" s="2" t="inlineStr">
        <x:is>
          <x:t xml:space="preserve"/>
        </x:is>
      </x:c>
      <x:c r="H27" s="2" t="inlineStr">
        <x:is>
          <x:t xml:space="preserve">Rebased to PDF brutal-evidence rules for this run.</x:t>
        </x:is>
      </x:c>
      <x:c r="I27" s="2" t="inlineStr">
        <x:is>
          <x:t xml:space="preserve">PDF p3 'Points Tracking' table (Overall MATCHED) + SECTION 4 item 5</x:t>
        </x:is>
      </x:c>
    </x:row>
    <x:row r="28">
      <x:c r="A28" s="2" t="inlineStr">
        <x:is>
          <x:t xml:space="preserve">C-000027</x:t>
        </x:is>
      </x:c>
      <x:c r="B28" s="8" t="n">
        <x:v>46030.15761975694</x:v>
      </x:c>
      <x:c r="C28" s="2" t="inlineStr">
        <x:is>
          <x:t xml:space="preserve">FULL_STACK_FEATURE_MATRIX</x:t>
        </x:is>
      </x:c>
      <x:c r="D28" s="2" t="inlineStr">
        <x:is>
          <x:t xml:space="preserve">F-005</x:t>
        </x:is>
      </x:c>
      <x:c r="E28" s="2" t="inlineStr">
        <x:is>
          <x:t xml:space="preserve">Priority</x:t>
        </x:is>
      </x:c>
      <x:c r="F28" s="2" t="inlineStr">
        <x:is>
          <x:t xml:space="preserve">P1</x:t>
        </x:is>
      </x:c>
      <x:c r="G28" s="2" t="inlineStr">
        <x:is>
          <x:t xml:space="preserve">P2</x:t>
        </x:is>
      </x:c>
      <x:c r="H28" s="2" t="inlineStr">
        <x:is>
          <x:t xml:space="preserve">Rebased to PDF brutal-evidence rules for this run.</x:t>
        </x:is>
      </x:c>
      <x:c r="I28" s="2" t="inlineStr">
        <x:is>
          <x:t xml:space="preserve">PDF p3 'Points Tracking' table (Overall MATCHED) + SECTION 4 item 5</x:t>
        </x:is>
      </x:c>
    </x:row>
    <x:row r="29">
      <x:c r="A29" s="2" t="inlineStr">
        <x:is>
          <x:t xml:space="preserve">C-000028</x:t>
        </x:is>
      </x:c>
      <x:c r="B29" s="8" t="n">
        <x:v>46030.15761975694</x:v>
      </x:c>
      <x:c r="C29" s="2" t="inlineStr">
        <x:is>
          <x:t xml:space="preserve">FULL_STACK_FEATURE_MATRIX</x:t>
        </x:is>
      </x:c>
      <x:c r="D29" s="2" t="inlineStr">
        <x:is>
          <x:t xml:space="preserve">F-005</x:t>
        </x:is>
      </x:c>
      <x:c r="E29" s="2" t="inlineStr">
        <x:is>
          <x:t xml:space="preserve">Execution_Order</x:t>
        </x:is>
      </x:c>
      <x:c r="F29" s="2" t="inlineStr">
        <x:is>
          <x:t xml:space="preserve">5</x:t>
        </x:is>
      </x:c>
      <x:c r="G29" s="2" t="inlineStr">
        <x:is>
          <x:t xml:space="preserve">25</x:t>
        </x:is>
      </x:c>
      <x:c r="H29" s="2" t="inlineStr">
        <x:is>
          <x:t xml:space="preserve">Rebased to PDF brutal-evidence rules for this run.</x:t>
        </x:is>
      </x:c>
      <x:c r="I29" s="2" t="inlineStr">
        <x:is>
          <x:t xml:space="preserve">PDF p3 'Points Tracking' table (Overall MATCHED) + SECTION 4 item 5</x:t>
        </x:is>
      </x:c>
    </x:row>
    <x:row r="30">
      <x:c r="A30" s="2" t="inlineStr">
        <x:is>
          <x:t xml:space="preserve">C-000029</x:t>
        </x:is>
      </x:c>
      <x:c r="B30" s="8" t="n">
        <x:v>46030.15761975694</x:v>
      </x:c>
      <x:c r="C30" s="2" t="inlineStr">
        <x:is>
          <x:t xml:space="preserve">FULL_STACK_FEATURE_MATRIX</x:t>
        </x:is>
      </x:c>
      <x:c r="D30" s="2" t="inlineStr">
        <x:is>
          <x:t xml:space="preserve">F-005</x:t>
        </x:is>
      </x:c>
      <x:c r="E30" s="2" t="inlineStr">
        <x:is>
          <x:t xml:space="preserve">Last_Updated_At</x:t>
        </x:is>
      </x:c>
      <x:c r="F30" s="2" t="inlineStr">
        <x:is>
          <x:t xml:space="preserve"/>
        </x:is>
      </x:c>
      <x:c r="G30" s="2" t="inlineStr">
        <x:is>
          <x:t xml:space="preserve">2026-01-08 03:46:58</x:t>
        </x:is>
      </x:c>
      <x:c r="H30" s="2" t="inlineStr">
        <x:is>
          <x:t xml:space="preserve">Timestamp tracking added.</x:t>
        </x:is>
      </x:c>
      <x:c r="I30" s="2" t="inlineStr">
        <x:is>
          <x:t xml:space="preserve">PDF p3 'Points Tracking' table (Overall MATCHED) + SECTION 4 item 5</x:t>
        </x:is>
      </x:c>
    </x:row>
    <x:row r="31">
      <x:c r="A31" s="2" t="inlineStr">
        <x:is>
          <x:t xml:space="preserve">C-000030</x:t>
        </x:is>
      </x:c>
      <x:c r="B31" s="8" t="n">
        <x:v>46030.15761975694</x:v>
      </x:c>
      <x:c r="C31" s="2" t="inlineStr">
        <x:is>
          <x:t xml:space="preserve">FULL_STACK_FEATURE_MATRIX</x:t>
        </x:is>
      </x:c>
      <x:c r="D31" s="2" t="inlineStr">
        <x:is>
          <x:t xml:space="preserve">F-005</x:t>
        </x:is>
      </x:c>
      <x:c r="E31" s="2" t="inlineStr">
        <x:is>
          <x:t xml:space="preserve">Last_Updated_By</x:t>
        </x:is>
      </x:c>
      <x:c r="F31" s="2" t="inlineStr">
        <x:is>
          <x:t xml:space="preserve"/>
        </x:is>
      </x:c>
      <x:c r="G31" s="2" t="inlineStr">
        <x:is>
          <x:t xml:space="preserve">ChatGPT</x:t>
        </x:is>
      </x:c>
      <x:c r="H31" s="2" t="inlineStr">
        <x:is>
          <x:t xml:space="preserve">Timestamp tracking added.</x:t>
        </x:is>
      </x:c>
      <x:c r="I31" s="2" t="inlineStr">
        <x:is>
          <x:t xml:space="preserve">PDF p3 'Points Tracking' table (Overall MATCHED) + SECTION 4 item 5</x:t>
        </x:is>
      </x:c>
    </x:row>
    <x:row r="32">
      <x:c r="A32" s="2" t="inlineStr">
        <x:is>
          <x:t xml:space="preserve">C-000031</x:t>
        </x:is>
      </x:c>
      <x:c r="B32" s="8" t="n">
        <x:v>46030.15761975694</x:v>
      </x:c>
      <x:c r="C32" s="2" t="inlineStr">
        <x:is>
          <x:t xml:space="preserve">FULL_STACK_FEATURE_MATRIX</x:t>
        </x:is>
      </x:c>
      <x:c r="D32" s="2" t="inlineStr">
        <x:is>
          <x:t xml:space="preserve">F-005</x:t>
        </x:is>
      </x:c>
      <x:c r="E32" s="2" t="inlineStr">
        <x:is>
          <x:t xml:space="preserve">Evidence_Ref</x:t>
        </x:is>
      </x:c>
      <x:c r="F32" s="2" t="inlineStr">
        <x:is>
          <x:t xml:space="preserve"/>
        </x:is>
      </x:c>
      <x:c r="G32" s="2" t="inlineStr">
        <x:is>
          <x:t xml:space="preserve">PDF p3 'Points Tracking' table (Overall MATCHED) + SECTION 4 item 5</x:t>
        </x:is>
      </x:c>
      <x:c r="H32" s="2" t="inlineStr">
        <x:is>
          <x:t xml:space="preserve">Evidence tracking added.</x:t>
        </x:is>
      </x:c>
      <x:c r="I32" s="2" t="inlineStr">
        <x:is>
          <x:t xml:space="preserve">PDF p3 'Points Tracking' table (Overall MATCHED) + SECTION 4 item 5</x:t>
        </x:is>
      </x:c>
    </x:row>
    <x:row r="33">
      <x:c r="A33" s="2" t="inlineStr">
        <x:is>
          <x:t xml:space="preserve">C-000032</x:t>
        </x:is>
      </x:c>
      <x:c r="B33" s="8" t="n">
        <x:v>46030.15761975694</x:v>
      </x:c>
      <x:c r="C33" s="2" t="inlineStr">
        <x:is>
          <x:t xml:space="preserve">FULL_STACK_FEATURE_MATRIX</x:t>
        </x:is>
      </x:c>
      <x:c r="D33" s="2" t="inlineStr">
        <x:is>
          <x:t xml:space="preserve">F-006</x:t>
        </x:is>
      </x:c>
      <x:c r="E33" s="2" t="inlineStr">
        <x:is>
          <x:t xml:space="preserve">Mobile_Customer_Completion_%</x:t>
        </x:is>
      </x:c>
      <x:c r="F33" s="2" t="inlineStr">
        <x:is>
          <x:t xml:space="preserve">30</x:t>
        </x:is>
      </x:c>
      <x:c r="G33" s="2" t="inlineStr">
        <x:is>
          <x:t xml:space="preserve">20</x:t>
        </x:is>
      </x:c>
      <x:c r="H33" s="2" t="inlineStr">
        <x:is>
          <x:t xml:space="preserve">Rebased to PDF brutal-evidence rules for this run.</x:t>
        </x:is>
      </x:c>
      <x:c r="I33" s="2" t="inlineStr">
        <x:is>
          <x:t xml:space="preserve">PDF p3 'Subscription Enforcement' table (Overall PARTIAL) + SECTION 4 item 6</x:t>
        </x:is>
      </x:c>
    </x:row>
    <x:row r="34">
      <x:c r="A34" s="2" t="inlineStr">
        <x:is>
          <x:t xml:space="preserve">C-000033</x:t>
        </x:is>
      </x:c>
      <x:c r="B34" s="8" t="n">
        <x:v>46030.15761975694</x:v>
      </x:c>
      <x:c r="C34" s="2" t="inlineStr">
        <x:is>
          <x:t xml:space="preserve">FULL_STACK_FEATURE_MATRIX</x:t>
        </x:is>
      </x:c>
      <x:c r="D34" s="2" t="inlineStr">
        <x:is>
          <x:t xml:space="preserve">F-006</x:t>
        </x:is>
      </x:c>
      <x:c r="E34" s="2" t="inlineStr">
        <x:is>
          <x:t xml:space="preserve">Mobile_Merchant_Completion_%</x:t>
        </x:is>
      </x:c>
      <x:c r="F34" s="2" t="inlineStr">
        <x:is>
          <x:t xml:space="preserve">30</x:t>
        </x:is>
      </x:c>
      <x:c r="G34" s="2" t="inlineStr">
        <x:is>
          <x:t xml:space="preserve">20</x:t>
        </x:is>
      </x:c>
      <x:c r="H34" s="2" t="inlineStr">
        <x:is>
          <x:t xml:space="preserve">Rebased to PDF brutal-evidence rules for this run.</x:t>
        </x:is>
      </x:c>
      <x:c r="I34" s="2" t="inlineStr">
        <x:is>
          <x:t xml:space="preserve">PDF p3 'Subscription Enforcement' table (Overall PARTIAL) + SECTION 4 item 6</x:t>
        </x:is>
      </x:c>
    </x:row>
    <x:row r="35">
      <x:c r="A35" s="2" t="inlineStr">
        <x:is>
          <x:t xml:space="preserve">C-000034</x:t>
        </x:is>
      </x:c>
      <x:c r="B35" s="8" t="n">
        <x:v>46030.15761975694</x:v>
      </x:c>
      <x:c r="C35" s="2" t="inlineStr">
        <x:is>
          <x:t xml:space="preserve">FULL_STACK_FEATURE_MATRIX</x:t>
        </x:is>
      </x:c>
      <x:c r="D35" s="2" t="inlineStr">
        <x:is>
          <x:t xml:space="preserve">F-006</x:t>
        </x:is>
      </x:c>
      <x:c r="E35" s="2" t="inlineStr">
        <x:is>
          <x:t xml:space="preserve">Blocker_Description</x:t>
        </x:is>
      </x:c>
      <x:c r="F35" s="2" t="inlineStr">
        <x:is>
          <x:t xml:space="preserve">Frontend gating dialogs/errors missing; payment system disabled.</x:t>
        </x:is>
      </x:c>
      <x:c r="G35" s="2" t="inlineStr">
        <x:is>
          <x:t xml:space="preserve">Backend enforces subscription checks, but customer/merchant UIs do not gate or show clear expiry errors.</x:t>
        </x:is>
      </x:c>
      <x:c r="H35" s="2" t="inlineStr">
        <x:is>
          <x:t xml:space="preserve">Rebased to PDF brutal-evidence rules for this run.</x:t>
        </x:is>
      </x:c>
      <x:c r="I35" s="2" t="inlineStr">
        <x:is>
          <x:t xml:space="preserve">PDF p3 'Subscription Enforcement' table (Overall PARTIAL) + SECTION 4 item 6</x:t>
        </x:is>
      </x:c>
    </x:row>
    <x:row r="36">
      <x:c r="A36" s="2" t="inlineStr">
        <x:is>
          <x:t xml:space="preserve">C-000035</x:t>
        </x:is>
      </x:c>
      <x:c r="B36" s="8" t="n">
        <x:v>46030.15761975694</x:v>
      </x:c>
      <x:c r="C36" s="2" t="inlineStr">
        <x:is>
          <x:t xml:space="preserve">FULL_STACK_FEATURE_MATRIX</x:t>
        </x:is>
      </x:c>
      <x:c r="D36" s="2" t="inlineStr">
        <x:is>
          <x:t xml:space="preserve">F-006</x:t>
        </x:is>
      </x:c>
      <x:c r="E36" s="2" t="inlineStr">
        <x:is>
          <x:t xml:space="preserve">Priority</x:t>
        </x:is>
      </x:c>
      <x:c r="F36" s="2" t="inlineStr">
        <x:is>
          <x:t xml:space="preserve">P0</x:t>
        </x:is>
      </x:c>
      <x:c r="G36" s="2" t="inlineStr">
        <x:is>
          <x:t xml:space="preserve">P1</x:t>
        </x:is>
      </x:c>
      <x:c r="H36" s="2" t="inlineStr">
        <x:is>
          <x:t xml:space="preserve">Rebased to PDF brutal-evidence rules for this run.</x:t>
        </x:is>
      </x:c>
      <x:c r="I36" s="2" t="inlineStr">
        <x:is>
          <x:t xml:space="preserve">PDF p3 'Subscription Enforcement' table (Overall PARTIAL) + SECTION 4 item 6</x:t>
        </x:is>
      </x:c>
    </x:row>
    <x:row r="37">
      <x:c r="A37" s="2" t="inlineStr">
        <x:is>
          <x:t xml:space="preserve">C-000036</x:t>
        </x:is>
      </x:c>
      <x:c r="B37" s="8" t="n">
        <x:v>46030.15761975694</x:v>
      </x:c>
      <x:c r="C37" s="2" t="inlineStr">
        <x:is>
          <x:t xml:space="preserve">FULL_STACK_FEATURE_MATRIX</x:t>
        </x:is>
      </x:c>
      <x:c r="D37" s="2" t="inlineStr">
        <x:is>
          <x:t xml:space="preserve">F-006</x:t>
        </x:is>
      </x:c>
      <x:c r="E37" s="2" t="inlineStr">
        <x:is>
          <x:t xml:space="preserve">Execution_Order</x:t>
        </x:is>
      </x:c>
      <x:c r="F37" s="2" t="inlineStr">
        <x:is>
          <x:t xml:space="preserve">6</x:t>
        </x:is>
      </x:c>
      <x:c r="G37" s="2" t="inlineStr">
        <x:is>
          <x:t xml:space="preserve">26</x:t>
        </x:is>
      </x:c>
      <x:c r="H37" s="2" t="inlineStr">
        <x:is>
          <x:t xml:space="preserve">Rebased to PDF brutal-evidence rules for this run.</x:t>
        </x:is>
      </x:c>
      <x:c r="I37" s="2" t="inlineStr">
        <x:is>
          <x:t xml:space="preserve">PDF p3 'Subscription Enforcement' table (Overall PARTIAL) + SECTION 4 item 6</x:t>
        </x:is>
      </x:c>
    </x:row>
    <x:row r="38">
      <x:c r="A38" s="2" t="inlineStr">
        <x:is>
          <x:t xml:space="preserve">C-000037</x:t>
        </x:is>
      </x:c>
      <x:c r="B38" s="8" t="n">
        <x:v>46030.15761975694</x:v>
      </x:c>
      <x:c r="C38" s="2" t="inlineStr">
        <x:is>
          <x:t xml:space="preserve">FULL_STACK_FEATURE_MATRIX</x:t>
        </x:is>
      </x:c>
      <x:c r="D38" s="2" t="inlineStr">
        <x:is>
          <x:t xml:space="preserve">F-006</x:t>
        </x:is>
      </x:c>
      <x:c r="E38" s="2" t="inlineStr">
        <x:is>
          <x:t xml:space="preserve">Last_Updated_At</x:t>
        </x:is>
      </x:c>
      <x:c r="F38" s="2" t="inlineStr">
        <x:is>
          <x:t xml:space="preserve"/>
        </x:is>
      </x:c>
      <x:c r="G38" s="2" t="inlineStr">
        <x:is>
          <x:t xml:space="preserve">2026-01-08 03:46:58</x:t>
        </x:is>
      </x:c>
      <x:c r="H38" s="2" t="inlineStr">
        <x:is>
          <x:t xml:space="preserve">Timestamp tracking added.</x:t>
        </x:is>
      </x:c>
      <x:c r="I38" s="2" t="inlineStr">
        <x:is>
          <x:t xml:space="preserve">PDF p3 'Subscription Enforcement' table (Overall PARTIAL) + SECTION 4 item 6</x:t>
        </x:is>
      </x:c>
    </x:row>
    <x:row r="39">
      <x:c r="A39" s="2" t="inlineStr">
        <x:is>
          <x:t xml:space="preserve">C-000038</x:t>
        </x:is>
      </x:c>
      <x:c r="B39" s="8" t="n">
        <x:v>46030.15761975694</x:v>
      </x:c>
      <x:c r="C39" s="2" t="inlineStr">
        <x:is>
          <x:t xml:space="preserve">FULL_STACK_FEATURE_MATRIX</x:t>
        </x:is>
      </x:c>
      <x:c r="D39" s="2" t="inlineStr">
        <x:is>
          <x:t xml:space="preserve">F-006</x:t>
        </x:is>
      </x:c>
      <x:c r="E39" s="2" t="inlineStr">
        <x:is>
          <x:t xml:space="preserve">Last_Updated_By</x:t>
        </x:is>
      </x:c>
      <x:c r="F39" s="2" t="inlineStr">
        <x:is>
          <x:t xml:space="preserve"/>
        </x:is>
      </x:c>
      <x:c r="G39" s="2" t="inlineStr">
        <x:is>
          <x:t xml:space="preserve">ChatGPT</x:t>
        </x:is>
      </x:c>
      <x:c r="H39" s="2" t="inlineStr">
        <x:is>
          <x:t xml:space="preserve">Timestamp tracking added.</x:t>
        </x:is>
      </x:c>
      <x:c r="I39" s="2" t="inlineStr">
        <x:is>
          <x:t xml:space="preserve">PDF p3 'Subscription Enforcement' table (Overall PARTIAL) + SECTION 4 item 6</x:t>
        </x:is>
      </x:c>
    </x:row>
    <x:row r="40">
      <x:c r="A40" s="2" t="inlineStr">
        <x:is>
          <x:t xml:space="preserve">C-000039</x:t>
        </x:is>
      </x:c>
      <x:c r="B40" s="8" t="n">
        <x:v>46030.15761975694</x:v>
      </x:c>
      <x:c r="C40" s="2" t="inlineStr">
        <x:is>
          <x:t xml:space="preserve">FULL_STACK_FEATURE_MATRIX</x:t>
        </x:is>
      </x:c>
      <x:c r="D40" s="2" t="inlineStr">
        <x:is>
          <x:t xml:space="preserve">F-006</x:t>
        </x:is>
      </x:c>
      <x:c r="E40" s="2" t="inlineStr">
        <x:is>
          <x:t xml:space="preserve">Evidence_Ref</x:t>
        </x:is>
      </x:c>
      <x:c r="F40" s="2" t="inlineStr">
        <x:is>
          <x:t xml:space="preserve"/>
        </x:is>
      </x:c>
      <x:c r="G40" s="2" t="inlineStr">
        <x:is>
          <x:t xml:space="preserve">PDF p3 'Subscription Enforcement' table (Overall PARTIAL) + SECTION 4 item 6</x:t>
        </x:is>
      </x:c>
      <x:c r="H40" s="2" t="inlineStr">
        <x:is>
          <x:t xml:space="preserve">Evidence tracking added.</x:t>
        </x:is>
      </x:c>
      <x:c r="I40" s="2" t="inlineStr">
        <x:is>
          <x:t xml:space="preserve">PDF p3 'Subscription Enforcement' table (Overall PARTIAL) + SECTION 4 item 6</x:t>
        </x:is>
      </x:c>
    </x:row>
    <x:row r="41">
      <x:c r="A41" s="2" t="inlineStr">
        <x:is>
          <x:t xml:space="preserve">C-000040</x:t>
        </x:is>
      </x:c>
      <x:c r="B41" s="8" t="n">
        <x:v>46030.15761975694</x:v>
      </x:c>
      <x:c r="C41" s="2" t="inlineStr">
        <x:is>
          <x:t xml:space="preserve">FULL_STACK_FEATURE_MATRIX</x:t>
        </x:is>
      </x:c>
      <x:c r="D41" s="2" t="inlineStr">
        <x:is>
          <x:t xml:space="preserve">F-007</x:t>
        </x:is>
      </x:c>
      <x:c r="E41" s="2" t="inlineStr">
        <x:is>
          <x:t xml:space="preserve">Backend_Status</x:t>
        </x:is>
      </x:c>
      <x:c r="F41" s="2" t="inlineStr">
        <x:is>
          <x:t xml:space="preserve">Not Started</x:t>
        </x:is>
      </x:c>
      <x:c r="G41" s="2" t="inlineStr">
        <x:is>
          <x:t xml:space="preserve">Partial</x:t>
        </x:is>
      </x:c>
      <x:c r="H41" s="2" t="inlineStr">
        <x:is>
          <x:t xml:space="preserve">Rebased to PDF brutal-evidence rules for this run.</x:t>
        </x:is>
      </x:c>
      <x:c r="I41" s="2" t="inlineStr">
        <x:is>
          <x:t xml:space="preserve">PDF SECTION 5 item 1 + SECTION 12 blocker 1</x:t>
        </x:is>
      </x:c>
    </x:row>
    <x:row r="42">
      <x:c r="A42" s="2" t="inlineStr">
        <x:is>
          <x:t xml:space="preserve">C-000041</x:t>
        </x:is>
      </x:c>
      <x:c r="B42" s="8" t="n">
        <x:v>46030.15761975694</x:v>
      </x:c>
      <x:c r="C42" s="2" t="inlineStr">
        <x:is>
          <x:t xml:space="preserve">FULL_STACK_FEATURE_MATRIX</x:t>
        </x:is>
      </x:c>
      <x:c r="D42" s="2" t="inlineStr">
        <x:is>
          <x:t xml:space="preserve">F-007</x:t>
        </x:is>
      </x:c>
      <x:c r="E42" s="2" t="inlineStr">
        <x:is>
          <x:t xml:space="preserve">Backend_Completion_%</x:t>
        </x:is>
      </x:c>
      <x:c r="F42" s="2" t="inlineStr">
        <x:is>
          <x:t xml:space="preserve">0</x:t>
        </x:is>
      </x:c>
      <x:c r="G42" s="2" t="inlineStr">
        <x:is>
          <x:t xml:space="preserve">30</x:t>
        </x:is>
      </x:c>
      <x:c r="H42" s="2" t="inlineStr">
        <x:is>
          <x:t xml:space="preserve">Rebased to PDF brutal-evidence rules for this run.</x:t>
        </x:is>
      </x:c>
      <x:c r="I42" s="2" t="inlineStr">
        <x:is>
          <x:t xml:space="preserve">PDF SECTION 5 item 1 + SECTION 12 blocker 1</x:t>
        </x:is>
      </x:c>
    </x:row>
    <x:row r="43">
      <x:c r="A43" s="2" t="inlineStr">
        <x:is>
          <x:t xml:space="preserve">C-000042</x:t>
        </x:is>
      </x:c>
      <x:c r="B43" s="8" t="n">
        <x:v>46030.15761975694</x:v>
      </x:c>
      <x:c r="C43" s="2" t="inlineStr">
        <x:is>
          <x:t xml:space="preserve">FULL_STACK_FEATURE_MATRIX</x:t>
        </x:is>
      </x:c>
      <x:c r="D43" s="2" t="inlineStr">
        <x:is>
          <x:t xml:space="preserve">F-007</x:t>
        </x:is>
      </x:c>
      <x:c r="E43" s="2" t="inlineStr">
        <x:is>
          <x:t xml:space="preserve">Blocker_Description</x:t>
        </x:is>
      </x:c>
      <x:c r="F43" s="2" t="inlineStr">
        <x:is>
          <x:t xml:space="preserve">STRIPE_ENABLED=0; no frontend payment UI; no payment method storage.</x:t>
        </x:is>
      </x:c>
      <x:c r="G43" s="2" t="inlineStr">
        <x:is>
          <x:t xml:space="preserve">Stripe disabled (STRIPE_ENABLED=0); no mobile payment UI; no payment method storage.</x:t>
        </x:is>
      </x:c>
      <x:c r="H43" s="2" t="inlineStr">
        <x:is>
          <x:t xml:space="preserve">Rebased to PDF brutal-evidence rules for this run.</x:t>
        </x:is>
      </x:c>
      <x:c r="I43" s="2" t="inlineStr">
        <x:is>
          <x:t xml:space="preserve">PDF SECTION 5 item 1 + SECTION 12 blocker 1</x:t>
        </x:is>
      </x:c>
    </x:row>
    <x:row r="44">
      <x:c r="A44" s="2" t="inlineStr">
        <x:is>
          <x:t xml:space="preserve">C-000043</x:t>
        </x:is>
      </x:c>
      <x:c r="B44" s="8" t="n">
        <x:v>46030.15761975694</x:v>
      </x:c>
      <x:c r="C44" s="2" t="inlineStr">
        <x:is>
          <x:t xml:space="preserve">FULL_STACK_FEATURE_MATRIX</x:t>
        </x:is>
      </x:c>
      <x:c r="D44" s="2" t="inlineStr">
        <x:is>
          <x:t xml:space="preserve">F-007</x:t>
        </x:is>
      </x:c>
      <x:c r="E44" s="2" t="inlineStr">
        <x:is>
          <x:t xml:space="preserve">Estimated_Effort_Hours</x:t>
        </x:is>
      </x:c>
      <x:c r="F44" s="2" t="inlineStr">
        <x:is>
          <x:t xml:space="preserve">112</x:t>
        </x:is>
      </x:c>
      <x:c r="G44" s="2" t="inlineStr">
        <x:is>
          <x:t xml:space="preserve">80</x:t>
        </x:is>
      </x:c>
      <x:c r="H44" s="2" t="inlineStr">
        <x:is>
          <x:t xml:space="preserve">Rebased to PDF brutal-evidence rules for this run.</x:t>
        </x:is>
      </x:c>
      <x:c r="I44" s="2" t="inlineStr">
        <x:is>
          <x:t xml:space="preserve">PDF SECTION 5 item 1 + SECTION 12 blocker 1</x:t>
        </x:is>
      </x:c>
    </x:row>
    <x:row r="45">
      <x:c r="A45" s="2" t="inlineStr">
        <x:is>
          <x:t xml:space="preserve">C-000044</x:t>
        </x:is>
      </x:c>
      <x:c r="B45" s="8" t="n">
        <x:v>46030.15761975694</x:v>
      </x:c>
      <x:c r="C45" s="2" t="inlineStr">
        <x:is>
          <x:t xml:space="preserve">FULL_STACK_FEATURE_MATRIX</x:t>
        </x:is>
      </x:c>
      <x:c r="D45" s="2" t="inlineStr">
        <x:is>
          <x:t xml:space="preserve">F-007</x:t>
        </x:is>
      </x:c>
      <x:c r="E45" s="2" t="inlineStr">
        <x:is>
          <x:t xml:space="preserve">Execution_Order</x:t>
        </x:is>
      </x:c>
      <x:c r="F45" s="2" t="inlineStr">
        <x:is>
          <x:t xml:space="preserve">7</x:t>
        </x:is>
      </x:c>
      <x:c r="G45" s="2" t="inlineStr">
        <x:is>
          <x:t xml:space="preserve">3</x:t>
        </x:is>
      </x:c>
      <x:c r="H45" s="2" t="inlineStr">
        <x:is>
          <x:t xml:space="preserve">Rebased to PDF brutal-evidence rules for this run.</x:t>
        </x:is>
      </x:c>
      <x:c r="I45" s="2" t="inlineStr">
        <x:is>
          <x:t xml:space="preserve">PDF SECTION 5 item 1 + SECTION 12 blocker 1</x:t>
        </x:is>
      </x:c>
    </x:row>
    <x:row r="46">
      <x:c r="A46" s="2" t="inlineStr">
        <x:is>
          <x:t xml:space="preserve">C-000045</x:t>
        </x:is>
      </x:c>
      <x:c r="B46" s="8" t="n">
        <x:v>46030.15761975694</x:v>
      </x:c>
      <x:c r="C46" s="2" t="inlineStr">
        <x:is>
          <x:t xml:space="preserve">FULL_STACK_FEATURE_MATRIX</x:t>
        </x:is>
      </x:c>
      <x:c r="D46" s="2" t="inlineStr">
        <x:is>
          <x:t xml:space="preserve">F-007</x:t>
        </x:is>
      </x:c>
      <x:c r="E46" s="2" t="inlineStr">
        <x:is>
          <x:t xml:space="preserve">Last_Updated_At</x:t>
        </x:is>
      </x:c>
      <x:c r="F46" s="2" t="inlineStr">
        <x:is>
          <x:t xml:space="preserve"/>
        </x:is>
      </x:c>
      <x:c r="G46" s="2" t="inlineStr">
        <x:is>
          <x:t xml:space="preserve">2026-01-08 03:46:58</x:t>
        </x:is>
      </x:c>
      <x:c r="H46" s="2" t="inlineStr">
        <x:is>
          <x:t xml:space="preserve">Timestamp tracking added.</x:t>
        </x:is>
      </x:c>
      <x:c r="I46" s="2" t="inlineStr">
        <x:is>
          <x:t xml:space="preserve">PDF SECTION 5 item 1 + SECTION 12 blocker 1</x:t>
        </x:is>
      </x:c>
    </x:row>
    <x:row r="47">
      <x:c r="A47" s="2" t="inlineStr">
        <x:is>
          <x:t xml:space="preserve">C-000046</x:t>
        </x:is>
      </x:c>
      <x:c r="B47" s="8" t="n">
        <x:v>46030.15761975694</x:v>
      </x:c>
      <x:c r="C47" s="2" t="inlineStr">
        <x:is>
          <x:t xml:space="preserve">FULL_STACK_FEATURE_MATRIX</x:t>
        </x:is>
      </x:c>
      <x:c r="D47" s="2" t="inlineStr">
        <x:is>
          <x:t xml:space="preserve">F-007</x:t>
        </x:is>
      </x:c>
      <x:c r="E47" s="2" t="inlineStr">
        <x:is>
          <x:t xml:space="preserve">Last_Updated_By</x:t>
        </x:is>
      </x:c>
      <x:c r="F47" s="2" t="inlineStr">
        <x:is>
          <x:t xml:space="preserve"/>
        </x:is>
      </x:c>
      <x:c r="G47" s="2" t="inlineStr">
        <x:is>
          <x:t xml:space="preserve">ChatGPT</x:t>
        </x:is>
      </x:c>
      <x:c r="H47" s="2" t="inlineStr">
        <x:is>
          <x:t xml:space="preserve">Timestamp tracking added.</x:t>
        </x:is>
      </x:c>
      <x:c r="I47" s="2" t="inlineStr">
        <x:is>
          <x:t xml:space="preserve">PDF SECTION 5 item 1 + SECTION 12 blocker 1</x:t>
        </x:is>
      </x:c>
    </x:row>
    <x:row r="48">
      <x:c r="A48" s="2" t="inlineStr">
        <x:is>
          <x:t xml:space="preserve">C-000047</x:t>
        </x:is>
      </x:c>
      <x:c r="B48" s="8" t="n">
        <x:v>46030.15761975694</x:v>
      </x:c>
      <x:c r="C48" s="2" t="inlineStr">
        <x:is>
          <x:t xml:space="preserve">FULL_STACK_FEATURE_MATRIX</x:t>
        </x:is>
      </x:c>
      <x:c r="D48" s="2" t="inlineStr">
        <x:is>
          <x:t xml:space="preserve">F-007</x:t>
        </x:is>
      </x:c>
      <x:c r="E48" s="2" t="inlineStr">
        <x:is>
          <x:t xml:space="preserve">Evidence_Ref</x:t>
        </x:is>
      </x:c>
      <x:c r="F48" s="2" t="inlineStr">
        <x:is>
          <x:t xml:space="preserve"/>
        </x:is>
      </x:c>
      <x:c r="G48" s="2" t="inlineStr">
        <x:is>
          <x:t xml:space="preserve">PDF SECTION 5 item 1 + SECTION 12 blocker 1</x:t>
        </x:is>
      </x:c>
      <x:c r="H48" s="2" t="inlineStr">
        <x:is>
          <x:t xml:space="preserve">Evidence tracking added.</x:t>
        </x:is>
      </x:c>
      <x:c r="I48" s="2" t="inlineStr">
        <x:is>
          <x:t xml:space="preserve">PDF SECTION 5 item 1 + SECTION 12 blocker 1</x:t>
        </x:is>
      </x:c>
    </x:row>
    <x:row r="49">
      <x:c r="A49" s="2" t="inlineStr">
        <x:is>
          <x:t xml:space="preserve">C-000048</x:t>
        </x:is>
      </x:c>
      <x:c r="B49" s="8" t="n">
        <x:v>46030.15761975694</x:v>
      </x:c>
      <x:c r="C49" s="2" t="inlineStr">
        <x:is>
          <x:t xml:space="preserve">FULL_STACK_FEATURE_MATRIX</x:t>
        </x:is>
      </x:c>
      <x:c r="D49" s="2" t="inlineStr">
        <x:is>
          <x:t xml:space="preserve">F-008</x:t>
        </x:is>
      </x:c>
      <x:c r="E49" s="2" t="inlineStr">
        <x:is>
          <x:t xml:space="preserve">Blocker_Type</x:t>
        </x:is>
      </x:c>
      <x:c r="F49" s="2" t="inlineStr">
        <x:is>
          <x:t xml:space="preserve">Infra</x:t>
        </x:is>
      </x:c>
      <x:c r="G49" s="2" t="inlineStr">
        <x:is>
          <x:t xml:space="preserve">Tech</x:t>
        </x:is>
      </x:c>
      <x:c r="H49" s="2" t="inlineStr">
        <x:is>
          <x:t xml:space="preserve">Rebased to PDF brutal-evidence rules for this run.</x:t>
        </x:is>
      </x:c>
      <x:c r="I49" s="2" t="inlineStr">
        <x:is>
          <x:t xml:space="preserve">PDF SECTION 5 item 10 + SECTION 12 blocker 6</x:t>
        </x:is>
      </x:c>
    </x:row>
    <x:row r="50">
      <x:c r="A50" s="2" t="inlineStr">
        <x:is>
          <x:t xml:space="preserve">C-000049</x:t>
        </x:is>
      </x:c>
      <x:c r="B50" s="8" t="n">
        <x:v>46030.15761975694</x:v>
      </x:c>
      <x:c r="C50" s="2" t="inlineStr">
        <x:is>
          <x:t xml:space="preserve">FULL_STACK_FEATURE_MATRIX</x:t>
        </x:is>
      </x:c>
      <x:c r="D50" s="2" t="inlineStr">
        <x:is>
          <x:t xml:space="preserve">F-008</x:t>
        </x:is>
      </x:c>
      <x:c r="E50" s="2" t="inlineStr">
        <x:is>
          <x:t xml:space="preserve">Blocker_Description</x:t>
        </x:is>
      </x:c>
      <x:c r="F50" s="2" t="inlineStr">
        <x:is>
          <x:t xml:space="preserve">Webhook exports commented; IAM permissions missing; TODO failure notifications.</x:t>
        </x:is>
      </x:c>
      <x:c r="G50" s="2" t="inlineStr">
        <x:is>
          <x:t xml:space="preserve">Webhook handlers exist but commented/unfinished; required IAM/permissions not granted.</x:t>
        </x:is>
      </x:c>
      <x:c r="H50" s="2" t="inlineStr">
        <x:is>
          <x:t xml:space="preserve">Rebased to PDF brutal-evidence rules for this run.</x:t>
        </x:is>
      </x:c>
      <x:c r="I50" s="2" t="inlineStr">
        <x:is>
          <x:t xml:space="preserve">PDF SECTION 5 item 10 + SECTION 12 blocker 6</x:t>
        </x:is>
      </x:c>
    </x:row>
    <x:row r="51">
      <x:c r="A51" s="2" t="inlineStr">
        <x:is>
          <x:t xml:space="preserve">C-000050</x:t>
        </x:is>
      </x:c>
      <x:c r="B51" s="8" t="n">
        <x:v>46030.15761975694</x:v>
      </x:c>
      <x:c r="C51" s="2" t="inlineStr">
        <x:is>
          <x:t xml:space="preserve">FULL_STACK_FEATURE_MATRIX</x:t>
        </x:is>
      </x:c>
      <x:c r="D51" s="2" t="inlineStr">
        <x:is>
          <x:t xml:space="preserve">F-008</x:t>
        </x:is>
      </x:c>
      <x:c r="E51" s="2" t="inlineStr">
        <x:is>
          <x:t xml:space="preserve">Estimated_Effort_Hours</x:t>
        </x:is>
      </x:c>
      <x:c r="F51" s="2" t="inlineStr">
        <x:is>
          <x:t xml:space="preserve">112</x:t>
        </x:is>
      </x:c>
      <x:c r="G51" s="2" t="inlineStr">
        <x:is>
          <x:t xml:space="preserve">80</x:t>
        </x:is>
      </x:c>
      <x:c r="H51" s="2" t="inlineStr">
        <x:is>
          <x:t xml:space="preserve">Rebased to PDF brutal-evidence rules for this run.</x:t>
        </x:is>
      </x:c>
      <x:c r="I51" s="2" t="inlineStr">
        <x:is>
          <x:t xml:space="preserve">PDF SECTION 5 item 10 + SECTION 12 blocker 6</x:t>
        </x:is>
      </x:c>
    </x:row>
    <x:row r="52">
      <x:c r="A52" s="2" t="inlineStr">
        <x:is>
          <x:t xml:space="preserve">C-000051</x:t>
        </x:is>
      </x:c>
      <x:c r="B52" s="8" t="n">
        <x:v>46030.15761975694</x:v>
      </x:c>
      <x:c r="C52" s="2" t="inlineStr">
        <x:is>
          <x:t xml:space="preserve">FULL_STACK_FEATURE_MATRIX</x:t>
        </x:is>
      </x:c>
      <x:c r="D52" s="2" t="inlineStr">
        <x:is>
          <x:t xml:space="preserve">F-008</x:t>
        </x:is>
      </x:c>
      <x:c r="E52" s="2" t="inlineStr">
        <x:is>
          <x:t xml:space="preserve">Execution_Order</x:t>
        </x:is>
      </x:c>
      <x:c r="F52" s="2" t="inlineStr">
        <x:is>
          <x:t xml:space="preserve">8</x:t>
        </x:is>
      </x:c>
      <x:c r="G52" s="2" t="inlineStr">
        <x:is>
          <x:t xml:space="preserve">4</x:t>
        </x:is>
      </x:c>
      <x:c r="H52" s="2" t="inlineStr">
        <x:is>
          <x:t xml:space="preserve">Rebased to PDF brutal-evidence rules for this run.</x:t>
        </x:is>
      </x:c>
      <x:c r="I52" s="2" t="inlineStr">
        <x:is>
          <x:t xml:space="preserve">PDF SECTION 5 item 10 + SECTION 12 blocker 6</x:t>
        </x:is>
      </x:c>
    </x:row>
    <x:row r="53">
      <x:c r="A53" s="2" t="inlineStr">
        <x:is>
          <x:t xml:space="preserve">C-000052</x:t>
        </x:is>
      </x:c>
      <x:c r="B53" s="8" t="n">
        <x:v>46030.15761975694</x:v>
      </x:c>
      <x:c r="C53" s="2" t="inlineStr">
        <x:is>
          <x:t xml:space="preserve">FULL_STACK_FEATURE_MATRIX</x:t>
        </x:is>
      </x:c>
      <x:c r="D53" s="2" t="inlineStr">
        <x:is>
          <x:t xml:space="preserve">F-008</x:t>
        </x:is>
      </x:c>
      <x:c r="E53" s="2" t="inlineStr">
        <x:is>
          <x:t xml:space="preserve">Last_Updated_At</x:t>
        </x:is>
      </x:c>
      <x:c r="F53" s="2" t="inlineStr">
        <x:is>
          <x:t xml:space="preserve"/>
        </x:is>
      </x:c>
      <x:c r="G53" s="2" t="inlineStr">
        <x:is>
          <x:t xml:space="preserve">2026-01-08 03:46:58</x:t>
        </x:is>
      </x:c>
      <x:c r="H53" s="2" t="inlineStr">
        <x:is>
          <x:t xml:space="preserve">Timestamp tracking added.</x:t>
        </x:is>
      </x:c>
      <x:c r="I53" s="2" t="inlineStr">
        <x:is>
          <x:t xml:space="preserve">PDF SECTION 5 item 10 + SECTION 12 blocker 6</x:t>
        </x:is>
      </x:c>
    </x:row>
    <x:row r="54">
      <x:c r="A54" s="2" t="inlineStr">
        <x:is>
          <x:t xml:space="preserve">C-000053</x:t>
        </x:is>
      </x:c>
      <x:c r="B54" s="8" t="n">
        <x:v>46030.15761975694</x:v>
      </x:c>
      <x:c r="C54" s="2" t="inlineStr">
        <x:is>
          <x:t xml:space="preserve">FULL_STACK_FEATURE_MATRIX</x:t>
        </x:is>
      </x:c>
      <x:c r="D54" s="2" t="inlineStr">
        <x:is>
          <x:t xml:space="preserve">F-008</x:t>
        </x:is>
      </x:c>
      <x:c r="E54" s="2" t="inlineStr">
        <x:is>
          <x:t xml:space="preserve">Last_Updated_By</x:t>
        </x:is>
      </x:c>
      <x:c r="F54" s="2" t="inlineStr">
        <x:is>
          <x:t xml:space="preserve"/>
        </x:is>
      </x:c>
      <x:c r="G54" s="2" t="inlineStr">
        <x:is>
          <x:t xml:space="preserve">ChatGPT</x:t>
        </x:is>
      </x:c>
      <x:c r="H54" s="2" t="inlineStr">
        <x:is>
          <x:t xml:space="preserve">Timestamp tracking added.</x:t>
        </x:is>
      </x:c>
      <x:c r="I54" s="2" t="inlineStr">
        <x:is>
          <x:t xml:space="preserve">PDF SECTION 5 item 10 + SECTION 12 blocker 6</x:t>
        </x:is>
      </x:c>
    </x:row>
    <x:row r="55">
      <x:c r="A55" s="2" t="inlineStr">
        <x:is>
          <x:t xml:space="preserve">C-000054</x:t>
        </x:is>
      </x:c>
      <x:c r="B55" s="8" t="n">
        <x:v>46030.15761975694</x:v>
      </x:c>
      <x:c r="C55" s="2" t="inlineStr">
        <x:is>
          <x:t xml:space="preserve">FULL_STACK_FEATURE_MATRIX</x:t>
        </x:is>
      </x:c>
      <x:c r="D55" s="2" t="inlineStr">
        <x:is>
          <x:t xml:space="preserve">F-008</x:t>
        </x:is>
      </x:c>
      <x:c r="E55" s="2" t="inlineStr">
        <x:is>
          <x:t xml:space="preserve">Evidence_Ref</x:t>
        </x:is>
      </x:c>
      <x:c r="F55" s="2" t="inlineStr">
        <x:is>
          <x:t xml:space="preserve"/>
        </x:is>
      </x:c>
      <x:c r="G55" s="2" t="inlineStr">
        <x:is>
          <x:t xml:space="preserve">PDF SECTION 5 item 10 + SECTION 12 blocker 6</x:t>
        </x:is>
      </x:c>
      <x:c r="H55" s="2" t="inlineStr">
        <x:is>
          <x:t xml:space="preserve">Evidence tracking added.</x:t>
        </x:is>
      </x:c>
      <x:c r="I55" s="2" t="inlineStr">
        <x:is>
          <x:t xml:space="preserve">PDF SECTION 5 item 10 + SECTION 12 blocker 6</x:t>
        </x:is>
      </x:c>
    </x:row>
    <x:row r="56">
      <x:c r="A56" s="2" t="inlineStr">
        <x:is>
          <x:t xml:space="preserve">C-000055</x:t>
        </x:is>
      </x:c>
      <x:c r="B56" s="8" t="n">
        <x:v>46030.15761975694</x:v>
      </x:c>
      <x:c r="C56" s="2" t="inlineStr">
        <x:is>
          <x:t xml:space="preserve">FULL_STACK_FEATURE_MATRIX</x:t>
        </x:is>
      </x:c>
      <x:c r="D56" s="2" t="inlineStr">
        <x:is>
          <x:t xml:space="preserve">F-009</x:t>
        </x:is>
      </x:c>
      <x:c r="E56" s="2" t="inlineStr">
        <x:is>
          <x:t xml:space="preserve">Blocker_Description</x:t>
        </x:is>
      </x:c>
      <x:c r="F56" s="2" t="inlineStr">
        <x:is>
          <x:t xml:space="preserve">TODO at line 86; currently simulates paymentSuccess=true; not real.</x:t>
        </x:is>
      </x:c>
      <x:c r="G56" s="2" t="inlineStr">
        <x:is>
          <x:t xml:space="preserve">Auto-renewal scheduled but disabled; TODO payment processing; simulated success.</x:t>
        </x:is>
      </x:c>
      <x:c r="H56" s="2" t="inlineStr">
        <x:is>
          <x:t xml:space="preserve">Rebased to PDF brutal-evidence rules for this run.</x:t>
        </x:is>
      </x:c>
      <x:c r="I56" s="2" t="inlineStr">
        <x:is>
          <x:t xml:space="preserve">PDF SECTION 5 item 2 + SECTION 12 blocker 3</x:t>
        </x:is>
      </x:c>
    </x:row>
    <x:row r="57">
      <x:c r="A57" s="2" t="inlineStr">
        <x:is>
          <x:t xml:space="preserve">C-000056</x:t>
        </x:is>
      </x:c>
      <x:c r="B57" s="8" t="n">
        <x:v>46030.15761975694</x:v>
      </x:c>
      <x:c r="C57" s="2" t="inlineStr">
        <x:is>
          <x:t xml:space="preserve">FULL_STACK_FEATURE_MATRIX</x:t>
        </x:is>
      </x:c>
      <x:c r="D57" s="2" t="inlineStr">
        <x:is>
          <x:t xml:space="preserve">F-009</x:t>
        </x:is>
      </x:c>
      <x:c r="E57" s="2" t="inlineStr">
        <x:is>
          <x:t xml:space="preserve">Execution_Order</x:t>
        </x:is>
      </x:c>
      <x:c r="F57" s="2" t="inlineStr">
        <x:is>
          <x:t xml:space="preserve">9</x:t>
        </x:is>
      </x:c>
      <x:c r="G57" s="2" t="inlineStr">
        <x:is>
          <x:t xml:space="preserve">5</x:t>
        </x:is>
      </x:c>
      <x:c r="H57" s="2" t="inlineStr">
        <x:is>
          <x:t xml:space="preserve">Rebased to PDF brutal-evidence rules for this run.</x:t>
        </x:is>
      </x:c>
      <x:c r="I57" s="2" t="inlineStr">
        <x:is>
          <x:t xml:space="preserve">PDF SECTION 5 item 2 + SECTION 12 blocker 3</x:t>
        </x:is>
      </x:c>
    </x:row>
    <x:row r="58">
      <x:c r="A58" s="2" t="inlineStr">
        <x:is>
          <x:t xml:space="preserve">C-000057</x:t>
        </x:is>
      </x:c>
      <x:c r="B58" s="8" t="n">
        <x:v>46030.15761975694</x:v>
      </x:c>
      <x:c r="C58" s="2" t="inlineStr">
        <x:is>
          <x:t xml:space="preserve">FULL_STACK_FEATURE_MATRIX</x:t>
        </x:is>
      </x:c>
      <x:c r="D58" s="2" t="inlineStr">
        <x:is>
          <x:t xml:space="preserve">F-009</x:t>
        </x:is>
      </x:c>
      <x:c r="E58" s="2" t="inlineStr">
        <x:is>
          <x:t xml:space="preserve">Last_Updated_At</x:t>
        </x:is>
      </x:c>
      <x:c r="F58" s="2" t="inlineStr">
        <x:is>
          <x:t xml:space="preserve"/>
        </x:is>
      </x:c>
      <x:c r="G58" s="2" t="inlineStr">
        <x:is>
          <x:t xml:space="preserve">2026-01-08 03:46:58</x:t>
        </x:is>
      </x:c>
      <x:c r="H58" s="2" t="inlineStr">
        <x:is>
          <x:t xml:space="preserve">Timestamp tracking added.</x:t>
        </x:is>
      </x:c>
      <x:c r="I58" s="2" t="inlineStr">
        <x:is>
          <x:t xml:space="preserve">PDF SECTION 5 item 2 + SECTION 12 blocker 3</x:t>
        </x:is>
      </x:c>
    </x:row>
    <x:row r="59">
      <x:c r="A59" s="2" t="inlineStr">
        <x:is>
          <x:t xml:space="preserve">C-000058</x:t>
        </x:is>
      </x:c>
      <x:c r="B59" s="8" t="n">
        <x:v>46030.15761975694</x:v>
      </x:c>
      <x:c r="C59" s="2" t="inlineStr">
        <x:is>
          <x:t xml:space="preserve">FULL_STACK_FEATURE_MATRIX</x:t>
        </x:is>
      </x:c>
      <x:c r="D59" s="2" t="inlineStr">
        <x:is>
          <x:t xml:space="preserve">F-009</x:t>
        </x:is>
      </x:c>
      <x:c r="E59" s="2" t="inlineStr">
        <x:is>
          <x:t xml:space="preserve">Last_Updated_By</x:t>
        </x:is>
      </x:c>
      <x:c r="F59" s="2" t="inlineStr">
        <x:is>
          <x:t xml:space="preserve"/>
        </x:is>
      </x:c>
      <x:c r="G59" s="2" t="inlineStr">
        <x:is>
          <x:t xml:space="preserve">ChatGPT</x:t>
        </x:is>
      </x:c>
      <x:c r="H59" s="2" t="inlineStr">
        <x:is>
          <x:t xml:space="preserve">Timestamp tracking added.</x:t>
        </x:is>
      </x:c>
      <x:c r="I59" s="2" t="inlineStr">
        <x:is>
          <x:t xml:space="preserve">PDF SECTION 5 item 2 + SECTION 12 blocker 3</x:t>
        </x:is>
      </x:c>
    </x:row>
    <x:row r="60">
      <x:c r="A60" s="2" t="inlineStr">
        <x:is>
          <x:t xml:space="preserve">C-000059</x:t>
        </x:is>
      </x:c>
      <x:c r="B60" s="8" t="n">
        <x:v>46030.15761975694</x:v>
      </x:c>
      <x:c r="C60" s="2" t="inlineStr">
        <x:is>
          <x:t xml:space="preserve">FULL_STACK_FEATURE_MATRIX</x:t>
        </x:is>
      </x:c>
      <x:c r="D60" s="2" t="inlineStr">
        <x:is>
          <x:t xml:space="preserve">F-009</x:t>
        </x:is>
      </x:c>
      <x:c r="E60" s="2" t="inlineStr">
        <x:is>
          <x:t xml:space="preserve">Evidence_Ref</x:t>
        </x:is>
      </x:c>
      <x:c r="F60" s="2" t="inlineStr">
        <x:is>
          <x:t xml:space="preserve"/>
        </x:is>
      </x:c>
      <x:c r="G60" s="2" t="inlineStr">
        <x:is>
          <x:t xml:space="preserve">PDF SECTION 5 item 2 + SECTION 12 blocker 3</x:t>
        </x:is>
      </x:c>
      <x:c r="H60" s="2" t="inlineStr">
        <x:is>
          <x:t xml:space="preserve">Evidence tracking added.</x:t>
        </x:is>
      </x:c>
      <x:c r="I60" s="2" t="inlineStr">
        <x:is>
          <x:t xml:space="preserve">PDF SECTION 5 item 2 + SECTION 12 blocker 3</x:t>
        </x:is>
      </x:c>
    </x:row>
    <x:row r="61">
      <x:c r="A61" s="2" t="inlineStr">
        <x:is>
          <x:t xml:space="preserve">C-000060</x:t>
        </x:is>
      </x:c>
      <x:c r="B61" s="8" t="n">
        <x:v>46030.15761975694</x:v>
      </x:c>
      <x:c r="C61" s="2" t="inlineStr">
        <x:is>
          <x:t xml:space="preserve">FULL_STACK_FEATURE_MATRIX</x:t>
        </x:is>
      </x:c>
      <x:c r="D61" s="2" t="inlineStr">
        <x:is>
          <x:t xml:space="preserve">F-010</x:t>
        </x:is>
      </x:c>
      <x:c r="E61" s="2" t="inlineStr">
        <x:is>
          <x:t xml:space="preserve">Backend_Status</x:t>
        </x:is>
      </x:c>
      <x:c r="F61" s="2" t="inlineStr">
        <x:is>
          <x:t xml:space="preserve">Partial</x:t>
        </x:is>
      </x:c>
      <x:c r="G61" s="2" t="inlineStr">
        <x:is>
          <x:t xml:space="preserve">Not Started</x:t>
        </x:is>
      </x:c>
      <x:c r="H61" s="2" t="inlineStr">
        <x:is>
          <x:t xml:space="preserve">Rebased to PDF brutal-evidence rules for this run.</x:t>
        </x:is>
      </x:c>
      <x:c r="I61" s="2" t="inlineStr">
        <x:is>
          <x:t xml:space="preserve">PDF SECTION 12 blocker 4 (Cloud Scheduler API not enabled)</x:t>
        </x:is>
      </x:c>
    </x:row>
    <x:row r="62">
      <x:c r="A62" s="2" t="inlineStr">
        <x:is>
          <x:t xml:space="preserve">C-000061</x:t>
        </x:is>
      </x:c>
      <x:c r="B62" s="8" t="n">
        <x:v>46030.15761975694</x:v>
      </x:c>
      <x:c r="C62" s="2" t="inlineStr">
        <x:is>
          <x:t xml:space="preserve">FULL_STACK_FEATURE_MATRIX</x:t>
        </x:is>
      </x:c>
      <x:c r="D62" s="2" t="inlineStr">
        <x:is>
          <x:t xml:space="preserve">F-010</x:t>
        </x:is>
      </x:c>
      <x:c r="E62" s="2" t="inlineStr">
        <x:is>
          <x:t xml:space="preserve">Backend_Completion_%</x:t>
        </x:is>
      </x:c>
      <x:c r="F62" s="2" t="inlineStr">
        <x:is>
          <x:t xml:space="preserve">50</x:t>
        </x:is>
      </x:c>
      <x:c r="G62" s="2" t="inlineStr">
        <x:is>
          <x:t xml:space="preserve">0</x:t>
        </x:is>
      </x:c>
      <x:c r="H62" s="2" t="inlineStr">
        <x:is>
          <x:t xml:space="preserve">Rebased to PDF brutal-evidence rules for this run.</x:t>
        </x:is>
      </x:c>
      <x:c r="I62" s="2" t="inlineStr">
        <x:is>
          <x:t xml:space="preserve">PDF SECTION 12 blocker 4 (Cloud Scheduler API not enabled)</x:t>
        </x:is>
      </x:c>
    </x:row>
    <x:row r="63">
      <x:c r="A63" s="2" t="inlineStr">
        <x:is>
          <x:t xml:space="preserve">C-000062</x:t>
        </x:is>
      </x:c>
      <x:c r="B63" s="8" t="n">
        <x:v>46030.15761975694</x:v>
      </x:c>
      <x:c r="C63" s="2" t="inlineStr">
        <x:is>
          <x:t xml:space="preserve">FULL_STACK_FEATURE_MATRIX</x:t>
        </x:is>
      </x:c>
      <x:c r="D63" s="2" t="inlineStr">
        <x:is>
          <x:t xml:space="preserve">F-010</x:t>
        </x:is>
      </x:c>
      <x:c r="E63" s="2" t="inlineStr">
        <x:is>
          <x:t xml:space="preserve">Blocker_Description</x:t>
        </x:is>
      </x:c>
      <x:c r="F63" s="2" t="inlineStr">
        <x:is>
          <x:t xml:space="preserve">Cloud Scheduler API not enabled; some schedulers disabled in prod.</x:t>
        </x:is>
      </x:c>
      <x:c r="G63" s="2" t="inlineStr">
        <x:is>
          <x:t xml:space="preserve">Cloud Scheduler API not enabled; scheduled jobs not executing in production.</x:t>
        </x:is>
      </x:c>
      <x:c r="H63" s="2" t="inlineStr">
        <x:is>
          <x:t xml:space="preserve">Rebased to PDF brutal-evidence rules for this run.</x:t>
        </x:is>
      </x:c>
      <x:c r="I63" s="2" t="inlineStr">
        <x:is>
          <x:t xml:space="preserve">PDF SECTION 12 blocker 4 (Cloud Scheduler API not enabled)</x:t>
        </x:is>
      </x:c>
    </x:row>
    <x:row r="64">
      <x:c r="A64" s="2" t="inlineStr">
        <x:is>
          <x:t xml:space="preserve">C-000063</x:t>
        </x:is>
      </x:c>
      <x:c r="B64" s="8" t="n">
        <x:v>46030.15761975694</x:v>
      </x:c>
      <x:c r="C64" s="2" t="inlineStr">
        <x:is>
          <x:t xml:space="preserve">FULL_STACK_FEATURE_MATRIX</x:t>
        </x:is>
      </x:c>
      <x:c r="D64" s="2" t="inlineStr">
        <x:is>
          <x:t xml:space="preserve">F-010</x:t>
        </x:is>
      </x:c>
      <x:c r="E64" s="2" t="inlineStr">
        <x:is>
          <x:t xml:space="preserve">Execution_Order</x:t>
        </x:is>
      </x:c>
      <x:c r="F64" s="2" t="inlineStr">
        <x:is>
          <x:t xml:space="preserve">10</x:t>
        </x:is>
      </x:c>
      <x:c r="G64" s="2" t="inlineStr">
        <x:is>
          <x:t xml:space="preserve">2</x:t>
        </x:is>
      </x:c>
      <x:c r="H64" s="2" t="inlineStr">
        <x:is>
          <x:t xml:space="preserve">Rebased to PDF brutal-evidence rules for this run.</x:t>
        </x:is>
      </x:c>
      <x:c r="I64" s="2" t="inlineStr">
        <x:is>
          <x:t xml:space="preserve">PDF SECTION 12 blocker 4 (Cloud Scheduler API not enabled)</x:t>
        </x:is>
      </x:c>
    </x:row>
    <x:row r="65">
      <x:c r="A65" s="2" t="inlineStr">
        <x:is>
          <x:t xml:space="preserve">C-000064</x:t>
        </x:is>
      </x:c>
      <x:c r="B65" s="8" t="n">
        <x:v>46030.15761975694</x:v>
      </x:c>
      <x:c r="C65" s="2" t="inlineStr">
        <x:is>
          <x:t xml:space="preserve">FULL_STACK_FEATURE_MATRIX</x:t>
        </x:is>
      </x:c>
      <x:c r="D65" s="2" t="inlineStr">
        <x:is>
          <x:t xml:space="preserve">F-010</x:t>
        </x:is>
      </x:c>
      <x:c r="E65" s="2" t="inlineStr">
        <x:is>
          <x:t xml:space="preserve">Last_Updated_At</x:t>
        </x:is>
      </x:c>
      <x:c r="F65" s="2" t="inlineStr">
        <x:is>
          <x:t xml:space="preserve"/>
        </x:is>
      </x:c>
      <x:c r="G65" s="2" t="inlineStr">
        <x:is>
          <x:t xml:space="preserve">2026-01-08 03:46:58</x:t>
        </x:is>
      </x:c>
      <x:c r="H65" s="2" t="inlineStr">
        <x:is>
          <x:t xml:space="preserve">Timestamp tracking added.</x:t>
        </x:is>
      </x:c>
      <x:c r="I65" s="2" t="inlineStr">
        <x:is>
          <x:t xml:space="preserve">PDF SECTION 12 blocker 4 (Cloud Scheduler API not enabled)</x:t>
        </x:is>
      </x:c>
    </x:row>
    <x:row r="66">
      <x:c r="A66" s="2" t="inlineStr">
        <x:is>
          <x:t xml:space="preserve">C-000065</x:t>
        </x:is>
      </x:c>
      <x:c r="B66" s="8" t="n">
        <x:v>46030.15761975694</x:v>
      </x:c>
      <x:c r="C66" s="2" t="inlineStr">
        <x:is>
          <x:t xml:space="preserve">FULL_STACK_FEATURE_MATRIX</x:t>
        </x:is>
      </x:c>
      <x:c r="D66" s="2" t="inlineStr">
        <x:is>
          <x:t xml:space="preserve">F-010</x:t>
        </x:is>
      </x:c>
      <x:c r="E66" s="2" t="inlineStr">
        <x:is>
          <x:t xml:space="preserve">Last_Updated_By</x:t>
        </x:is>
      </x:c>
      <x:c r="F66" s="2" t="inlineStr">
        <x:is>
          <x:t xml:space="preserve"/>
        </x:is>
      </x:c>
      <x:c r="G66" s="2" t="inlineStr">
        <x:is>
          <x:t xml:space="preserve">ChatGPT</x:t>
        </x:is>
      </x:c>
      <x:c r="H66" s="2" t="inlineStr">
        <x:is>
          <x:t xml:space="preserve">Timestamp tracking added.</x:t>
        </x:is>
      </x:c>
      <x:c r="I66" s="2" t="inlineStr">
        <x:is>
          <x:t xml:space="preserve">PDF SECTION 12 blocker 4 (Cloud Scheduler API not enabled)</x:t>
        </x:is>
      </x:c>
    </x:row>
    <x:row r="67">
      <x:c r="A67" s="2" t="inlineStr">
        <x:is>
          <x:t xml:space="preserve">C-000066</x:t>
        </x:is>
      </x:c>
      <x:c r="B67" s="8" t="n">
        <x:v>46030.15761975694</x:v>
      </x:c>
      <x:c r="C67" s="2" t="inlineStr">
        <x:is>
          <x:t xml:space="preserve">FULL_STACK_FEATURE_MATRIX</x:t>
        </x:is>
      </x:c>
      <x:c r="D67" s="2" t="inlineStr">
        <x:is>
          <x:t xml:space="preserve">F-010</x:t>
        </x:is>
      </x:c>
      <x:c r="E67" s="2" t="inlineStr">
        <x:is>
          <x:t xml:space="preserve">Evidence_Ref</x:t>
        </x:is>
      </x:c>
      <x:c r="F67" s="2" t="inlineStr">
        <x:is>
          <x:t xml:space="preserve"/>
        </x:is>
      </x:c>
      <x:c r="G67" s="2" t="inlineStr">
        <x:is>
          <x:t xml:space="preserve">PDF SECTION 12 blocker 4 (Cloud Scheduler API not enabled)</x:t>
        </x:is>
      </x:c>
      <x:c r="H67" s="2" t="inlineStr">
        <x:is>
          <x:t xml:space="preserve">Evidence tracking added.</x:t>
        </x:is>
      </x:c>
      <x:c r="I67" s="2" t="inlineStr">
        <x:is>
          <x:t xml:space="preserve">PDF SECTION 12 blocker 4 (Cloud Scheduler API not enabled)</x:t>
        </x:is>
      </x:c>
    </x:row>
    <x:row r="68">
      <x:c r="A68" s="2" t="inlineStr">
        <x:is>
          <x:t xml:space="preserve">C-000067</x:t>
        </x:is>
      </x:c>
      <x:c r="B68" s="8" t="n">
        <x:v>46030.15761975694</x:v>
      </x:c>
      <x:c r="C68" s="2" t="inlineStr">
        <x:is>
          <x:t xml:space="preserve">FULL_STACK_FEATURE_MATRIX</x:t>
        </x:is>
      </x:c>
      <x:c r="D68" s="2" t="inlineStr">
        <x:is>
          <x:t xml:space="preserve">F-011</x:t>
        </x:is>
      </x:c>
      <x:c r="E68" s="2" t="inlineStr">
        <x:is>
          <x:t xml:space="preserve">Backend_Status</x:t>
        </x:is>
      </x:c>
      <x:c r="F68" s="2" t="inlineStr">
        <x:is>
          <x:t xml:space="preserve">Done</x:t>
        </x:is>
      </x:c>
      <x:c r="G68" s="2" t="inlineStr">
        <x:is>
          <x:t xml:space="preserve">Partial</x:t>
        </x:is>
      </x:c>
      <x:c r="H68" s="2" t="inlineStr">
        <x:is>
          <x:t xml:space="preserve">Rebased to PDF brutal-evidence rules for this run.</x:t>
        </x:is>
      </x:c>
      <x:c r="I68" s="2" t="inlineStr">
        <x:is>
          <x:t xml:space="preserve">PDF 'Automation &amp; Schedulers' table + SECTION 12 blocker 4</x:t>
        </x:is>
      </x:c>
    </x:row>
    <x:row r="69">
      <x:c r="A69" s="2" t="inlineStr">
        <x:is>
          <x:t xml:space="preserve">C-000068</x:t>
        </x:is>
      </x:c>
      <x:c r="B69" s="8" t="n">
        <x:v>46030.15761975694</x:v>
      </x:c>
      <x:c r="C69" s="2" t="inlineStr">
        <x:is>
          <x:t xml:space="preserve">FULL_STACK_FEATURE_MATRIX</x:t>
        </x:is>
      </x:c>
      <x:c r="D69" s="2" t="inlineStr">
        <x:is>
          <x:t xml:space="preserve">F-011</x:t>
        </x:is>
      </x:c>
      <x:c r="E69" s="2" t="inlineStr">
        <x:is>
          <x:t xml:space="preserve">Backend_Completion_%</x:t>
        </x:is>
      </x:c>
      <x:c r="F69" s="2" t="inlineStr">
        <x:is>
          <x:t xml:space="preserve">100</x:t>
        </x:is>
      </x:c>
      <x:c r="G69" s="2" t="inlineStr">
        <x:is>
          <x:t xml:space="preserve">60</x:t>
        </x:is>
      </x:c>
      <x:c r="H69" s="2" t="inlineStr">
        <x:is>
          <x:t xml:space="preserve">Rebased to PDF brutal-evidence rules for this run.</x:t>
        </x:is>
      </x:c>
      <x:c r="I69" s="2" t="inlineStr">
        <x:is>
          <x:t xml:space="preserve">PDF 'Automation &amp; Schedulers' table + SECTION 12 blocker 4</x:t>
        </x:is>
      </x:c>
    </x:row>
    <x:row r="70">
      <x:c r="A70" s="2" t="inlineStr">
        <x:is>
          <x:t xml:space="preserve">C-000069</x:t>
        </x:is>
      </x:c>
      <x:c r="B70" s="8" t="n">
        <x:v>46030.15761975694</x:v>
      </x:c>
      <x:c r="C70" s="2" t="inlineStr">
        <x:is>
          <x:t xml:space="preserve">FULL_STACK_FEATURE_MATRIX</x:t>
        </x:is>
      </x:c>
      <x:c r="D70" s="2" t="inlineStr">
        <x:is>
          <x:t xml:space="preserve">F-011</x:t>
        </x:is>
      </x:c>
      <x:c r="E70" s="2" t="inlineStr">
        <x:is>
          <x:t xml:space="preserve">Is_End_to_End_Working</x:t>
        </x:is>
      </x:c>
      <x:c r="F70" s="2" t="inlineStr">
        <x:is>
          <x:t xml:space="preserve">YES</x:t>
        </x:is>
      </x:c>
      <x:c r="G70" s="2" t="inlineStr">
        <x:is>
          <x:t xml:space="preserve">NO</x:t>
        </x:is>
      </x:c>
      <x:c r="H70" s="2" t="inlineStr">
        <x:is>
          <x:t xml:space="preserve">Rebased to PDF brutal-evidence rules for this run.</x:t>
        </x:is>
      </x:c>
      <x:c r="I70" s="2" t="inlineStr">
        <x:is>
          <x:t xml:space="preserve">PDF 'Automation &amp; Schedulers' table + SECTION 12 blocker 4</x:t>
        </x:is>
      </x:c>
    </x:row>
    <x:row r="71">
      <x:c r="A71" s="2" t="inlineStr">
        <x:is>
          <x:t xml:space="preserve">C-000070</x:t>
        </x:is>
      </x:c>
      <x:c r="B71" s="8" t="n">
        <x:v>46030.15761975694</x:v>
      </x:c>
      <x:c r="C71" s="2" t="inlineStr">
        <x:is>
          <x:t xml:space="preserve">FULL_STACK_FEATURE_MATRIX</x:t>
        </x:is>
      </x:c>
      <x:c r="D71" s="2" t="inlineStr">
        <x:is>
          <x:t xml:space="preserve">F-011</x:t>
        </x:is>
      </x:c>
      <x:c r="E71" s="2" t="inlineStr">
        <x:is>
          <x:t xml:space="preserve">Blocker_Type</x:t>
        </x:is>
      </x:c>
      <x:c r="F71" s="2" t="inlineStr">
        <x:is>
          <x:t xml:space="preserve">None</x:t>
        </x:is>
      </x:c>
      <x:c r="G71" s="2" t="inlineStr">
        <x:is>
          <x:t xml:space="preserve">Infra</x:t>
        </x:is>
      </x:c>
      <x:c r="H71" s="2" t="inlineStr">
        <x:is>
          <x:t xml:space="preserve">Rebased to PDF brutal-evidence rules for this run.</x:t>
        </x:is>
      </x:c>
      <x:c r="I71" s="2" t="inlineStr">
        <x:is>
          <x:t xml:space="preserve">PDF 'Automation &amp; Schedulers' table + SECTION 12 blocker 4</x:t>
        </x:is>
      </x:c>
    </x:row>
    <x:row r="72">
      <x:c r="A72" s="2" t="inlineStr">
        <x:is>
          <x:t xml:space="preserve">C-000071</x:t>
        </x:is>
      </x:c>
      <x:c r="B72" s="8" t="n">
        <x:v>46030.15761975694</x:v>
      </x:c>
      <x:c r="C72" s="2" t="inlineStr">
        <x:is>
          <x:t xml:space="preserve">FULL_STACK_FEATURE_MATRIX</x:t>
        </x:is>
      </x:c>
      <x:c r="D72" s="2" t="inlineStr">
        <x:is>
          <x:t xml:space="preserve">F-011</x:t>
        </x:is>
      </x:c>
      <x:c r="E72" s="2" t="inlineStr">
        <x:is>
          <x:t xml:space="preserve">Blocker_Description</x:t>
        </x:is>
      </x:c>
      <x:c r="F72" s="2" t="inlineStr">
        <x:is>
          <x:t xml:space="preserve">Daily @ 6 AM; soft-deletes tokens &gt;7 days.</x:t>
        </x:is>
      </x:c>
      <x:c r="G72" s="2" t="inlineStr">
        <x:is>
          <x:t xml:space="preserve">Scheduler code exists, but Cloud Scheduler disabled → not proven executing end-to-end.</x:t>
        </x:is>
      </x:c>
      <x:c r="H72" s="2" t="inlineStr">
        <x:is>
          <x:t xml:space="preserve">Rebased to PDF brutal-evidence rules for this run.</x:t>
        </x:is>
      </x:c>
      <x:c r="I72" s="2" t="inlineStr">
        <x:is>
          <x:t xml:space="preserve">PDF 'Automation &amp; Schedulers' table + SECTION 12 blocker 4</x:t>
        </x:is>
      </x:c>
    </x:row>
    <x:row r="73">
      <x:c r="A73" s="2" t="inlineStr">
        <x:is>
          <x:t xml:space="preserve">C-000072</x:t>
        </x:is>
      </x:c>
      <x:c r="B73" s="8" t="n">
        <x:v>46030.15761975694</x:v>
      </x:c>
      <x:c r="C73" s="2" t="inlineStr">
        <x:is>
          <x:t xml:space="preserve">FULL_STACK_FEATURE_MATRIX</x:t>
        </x:is>
      </x:c>
      <x:c r="D73" s="2" t="inlineStr">
        <x:is>
          <x:t xml:space="preserve">F-011</x:t>
        </x:is>
      </x:c>
      <x:c r="E73" s="2" t="inlineStr">
        <x:is>
          <x:t xml:space="preserve">Priority</x:t>
        </x:is>
      </x:c>
      <x:c r="F73" s="2" t="inlineStr">
        <x:is>
          <x:t xml:space="preserve">P2</x:t>
        </x:is>
      </x:c>
      <x:c r="G73" s="2" t="inlineStr">
        <x:is>
          <x:t xml:space="preserve">P1</x:t>
        </x:is>
      </x:c>
      <x:c r="H73" s="2" t="inlineStr">
        <x:is>
          <x:t xml:space="preserve">Rebased to PDF brutal-evidence rules for this run.</x:t>
        </x:is>
      </x:c>
      <x:c r="I73" s="2" t="inlineStr">
        <x:is>
          <x:t xml:space="preserve">PDF 'Automation &amp; Schedulers' table + SECTION 12 blocker 4</x:t>
        </x:is>
      </x:c>
    </x:row>
    <x:row r="74">
      <x:c r="A74" s="2" t="inlineStr">
        <x:is>
          <x:t xml:space="preserve">C-000073</x:t>
        </x:is>
      </x:c>
      <x:c r="B74" s="8" t="n">
        <x:v>46030.15761975694</x:v>
      </x:c>
      <x:c r="C74" s="2" t="inlineStr">
        <x:is>
          <x:t xml:space="preserve">FULL_STACK_FEATURE_MATRIX</x:t>
        </x:is>
      </x:c>
      <x:c r="D74" s="2" t="inlineStr">
        <x:is>
          <x:t xml:space="preserve">F-011</x:t>
        </x:is>
      </x:c>
      <x:c r="E74" s="2" t="inlineStr">
        <x:is>
          <x:t xml:space="preserve">Estimated_Effort_Hours</x:t>
        </x:is>
      </x:c>
      <x:c r="F74" s="2" t="inlineStr">
        <x:is>
          <x:t xml:space="preserve">4</x:t>
        </x:is>
      </x:c>
      <x:c r="G74" s="2" t="inlineStr">
        <x:is>
          <x:t xml:space="preserve">8</x:t>
        </x:is>
      </x:c>
      <x:c r="H74" s="2" t="inlineStr">
        <x:is>
          <x:t xml:space="preserve">Rebased to PDF brutal-evidence rules for this run.</x:t>
        </x:is>
      </x:c>
      <x:c r="I74" s="2" t="inlineStr">
        <x:is>
          <x:t xml:space="preserve">PDF 'Automation &amp; Schedulers' table + SECTION 12 blocker 4</x:t>
        </x:is>
      </x:c>
    </x:row>
    <x:row r="75">
      <x:c r="A75" s="2" t="inlineStr">
        <x:is>
          <x:t xml:space="preserve">C-000074</x:t>
        </x:is>
      </x:c>
      <x:c r="B75" s="8" t="n">
        <x:v>46030.15761975694</x:v>
      </x:c>
      <x:c r="C75" s="2" t="inlineStr">
        <x:is>
          <x:t xml:space="preserve">FULL_STACK_FEATURE_MATRIX</x:t>
        </x:is>
      </x:c>
      <x:c r="D75" s="2" t="inlineStr">
        <x:is>
          <x:t xml:space="preserve">F-011</x:t>
        </x:is>
      </x:c>
      <x:c r="E75" s="2" t="inlineStr">
        <x:is>
          <x:t xml:space="preserve">Execution_Order</x:t>
        </x:is>
      </x:c>
      <x:c r="F75" s="2" t="inlineStr">
        <x:is>
          <x:t xml:space="preserve">11</x:t>
        </x:is>
      </x:c>
      <x:c r="G75" s="2" t="inlineStr">
        <x:is>
          <x:t xml:space="preserve">9</x:t>
        </x:is>
      </x:c>
      <x:c r="H75" s="2" t="inlineStr">
        <x:is>
          <x:t xml:space="preserve">Rebased to PDF brutal-evidence rules for this run.</x:t>
        </x:is>
      </x:c>
      <x:c r="I75" s="2" t="inlineStr">
        <x:is>
          <x:t xml:space="preserve">PDF 'Automation &amp; Schedulers' table + SECTION 12 blocker 4</x:t>
        </x:is>
      </x:c>
    </x:row>
    <x:row r="76">
      <x:c r="A76" s="2" t="inlineStr">
        <x:is>
          <x:t xml:space="preserve">C-000075</x:t>
        </x:is>
      </x:c>
      <x:c r="B76" s="8" t="n">
        <x:v>46030.15761975694</x:v>
      </x:c>
      <x:c r="C76" s="2" t="inlineStr">
        <x:is>
          <x:t xml:space="preserve">FULL_STACK_FEATURE_MATRIX</x:t>
        </x:is>
      </x:c>
      <x:c r="D76" s="2" t="inlineStr">
        <x:is>
          <x:t xml:space="preserve">F-011</x:t>
        </x:is>
      </x:c>
      <x:c r="E76" s="2" t="inlineStr">
        <x:is>
          <x:t xml:space="preserve">Last_Updated_At</x:t>
        </x:is>
      </x:c>
      <x:c r="F76" s="2" t="inlineStr">
        <x:is>
          <x:t xml:space="preserve"/>
        </x:is>
      </x:c>
      <x:c r="G76" s="2" t="inlineStr">
        <x:is>
          <x:t xml:space="preserve">2026-01-08 03:46:58</x:t>
        </x:is>
      </x:c>
      <x:c r="H76" s="2" t="inlineStr">
        <x:is>
          <x:t xml:space="preserve">Timestamp tracking added.</x:t>
        </x:is>
      </x:c>
      <x:c r="I76" s="2" t="inlineStr">
        <x:is>
          <x:t xml:space="preserve">PDF 'Automation &amp; Schedulers' table + SECTION 12 blocker 4</x:t>
        </x:is>
      </x:c>
    </x:row>
    <x:row r="77">
      <x:c r="A77" s="2" t="inlineStr">
        <x:is>
          <x:t xml:space="preserve">C-000076</x:t>
        </x:is>
      </x:c>
      <x:c r="B77" s="8" t="n">
        <x:v>46030.15761975694</x:v>
      </x:c>
      <x:c r="C77" s="2" t="inlineStr">
        <x:is>
          <x:t xml:space="preserve">FULL_STACK_FEATURE_MATRIX</x:t>
        </x:is>
      </x:c>
      <x:c r="D77" s="2" t="inlineStr">
        <x:is>
          <x:t xml:space="preserve">F-011</x:t>
        </x:is>
      </x:c>
      <x:c r="E77" s="2" t="inlineStr">
        <x:is>
          <x:t xml:space="preserve">Last_Updated_By</x:t>
        </x:is>
      </x:c>
      <x:c r="F77" s="2" t="inlineStr">
        <x:is>
          <x:t xml:space="preserve"/>
        </x:is>
      </x:c>
      <x:c r="G77" s="2" t="inlineStr">
        <x:is>
          <x:t xml:space="preserve">ChatGPT</x:t>
        </x:is>
      </x:c>
      <x:c r="H77" s="2" t="inlineStr">
        <x:is>
          <x:t xml:space="preserve">Timestamp tracking added.</x:t>
        </x:is>
      </x:c>
      <x:c r="I77" s="2" t="inlineStr">
        <x:is>
          <x:t xml:space="preserve">PDF 'Automation &amp; Schedulers' table + SECTION 12 blocker 4</x:t>
        </x:is>
      </x:c>
    </x:row>
    <x:row r="78">
      <x:c r="A78" s="2" t="inlineStr">
        <x:is>
          <x:t xml:space="preserve">C-000077</x:t>
        </x:is>
      </x:c>
      <x:c r="B78" s="8" t="n">
        <x:v>46030.15761975694</x:v>
      </x:c>
      <x:c r="C78" s="2" t="inlineStr">
        <x:is>
          <x:t xml:space="preserve">FULL_STACK_FEATURE_MATRIX</x:t>
        </x:is>
      </x:c>
      <x:c r="D78" s="2" t="inlineStr">
        <x:is>
          <x:t xml:space="preserve">F-011</x:t>
        </x:is>
      </x:c>
      <x:c r="E78" s="2" t="inlineStr">
        <x:is>
          <x:t xml:space="preserve">Evidence_Ref</x:t>
        </x:is>
      </x:c>
      <x:c r="F78" s="2" t="inlineStr">
        <x:is>
          <x:t xml:space="preserve"/>
        </x:is>
      </x:c>
      <x:c r="G78" s="2" t="inlineStr">
        <x:is>
          <x:t xml:space="preserve">PDF 'Automation &amp; Schedulers' table + SECTION 12 blocker 4</x:t>
        </x:is>
      </x:c>
      <x:c r="H78" s="2" t="inlineStr">
        <x:is>
          <x:t xml:space="preserve">Evidence tracking added.</x:t>
        </x:is>
      </x:c>
      <x:c r="I78" s="2" t="inlineStr">
        <x:is>
          <x:t xml:space="preserve">PDF 'Automation &amp; Schedulers' table + SECTION 12 blocker 4</x:t>
        </x:is>
      </x:c>
    </x:row>
    <x:row r="79">
      <x:c r="A79" s="2" t="inlineStr">
        <x:is>
          <x:t xml:space="preserve">C-000078</x:t>
        </x:is>
      </x:c>
      <x:c r="B79" s="8" t="n">
        <x:v>46030.15761975694</x:v>
      </x:c>
      <x:c r="C79" s="2" t="inlineStr">
        <x:is>
          <x:t xml:space="preserve">FULL_STACK_FEATURE_MATRIX</x:t>
        </x:is>
      </x:c>
      <x:c r="D79" s="2" t="inlineStr">
        <x:is>
          <x:t xml:space="preserve">F-012</x:t>
        </x:is>
      </x:c>
      <x:c r="E79" s="2" t="inlineStr">
        <x:is>
          <x:t xml:space="preserve">Backend_Status</x:t>
        </x:is>
      </x:c>
      <x:c r="F79" s="2" t="inlineStr">
        <x:is>
          <x:t xml:space="preserve">Done</x:t>
        </x:is>
      </x:c>
      <x:c r="G79" s="2" t="inlineStr">
        <x:is>
          <x:t xml:space="preserve">Partial</x:t>
        </x:is>
      </x:c>
      <x:c r="H79" s="2" t="inlineStr">
        <x:is>
          <x:t xml:space="preserve">Rebased to PDF brutal-evidence rules for this run.</x:t>
        </x:is>
      </x:c>
      <x:c r="I79" s="2" t="inlineStr">
        <x:is>
          <x:t xml:space="preserve">PDF 'Automation &amp; Schedulers' table + SECTION 12 blocker 4</x:t>
        </x:is>
      </x:c>
    </x:row>
    <x:row r="80">
      <x:c r="A80" s="2" t="inlineStr">
        <x:is>
          <x:t xml:space="preserve">C-000079</x:t>
        </x:is>
      </x:c>
      <x:c r="B80" s="8" t="n">
        <x:v>46030.15761975694</x:v>
      </x:c>
      <x:c r="C80" s="2" t="inlineStr">
        <x:is>
          <x:t xml:space="preserve">FULL_STACK_FEATURE_MATRIX</x:t>
        </x:is>
      </x:c>
      <x:c r="D80" s="2" t="inlineStr">
        <x:is>
          <x:t xml:space="preserve">F-012</x:t>
        </x:is>
      </x:c>
      <x:c r="E80" s="2" t="inlineStr">
        <x:is>
          <x:t xml:space="preserve">Backend_Completion_%</x:t>
        </x:is>
      </x:c>
      <x:c r="F80" s="2" t="inlineStr">
        <x:is>
          <x:t xml:space="preserve">100</x:t>
        </x:is>
      </x:c>
      <x:c r="G80" s="2" t="inlineStr">
        <x:is>
          <x:t xml:space="preserve">60</x:t>
        </x:is>
      </x:c>
      <x:c r="H80" s="2" t="inlineStr">
        <x:is>
          <x:t xml:space="preserve">Rebased to PDF brutal-evidence rules for this run.</x:t>
        </x:is>
      </x:c>
      <x:c r="I80" s="2" t="inlineStr">
        <x:is>
          <x:t xml:space="preserve">PDF 'Automation &amp; Schedulers' table + SECTION 12 blocker 4</x:t>
        </x:is>
      </x:c>
    </x:row>
    <x:row r="81">
      <x:c r="A81" s="2" t="inlineStr">
        <x:is>
          <x:t xml:space="preserve">C-000080</x:t>
        </x:is>
      </x:c>
      <x:c r="B81" s="8" t="n">
        <x:v>46030.15761975694</x:v>
      </x:c>
      <x:c r="C81" s="2" t="inlineStr">
        <x:is>
          <x:t xml:space="preserve">FULL_STACK_FEATURE_MATRIX</x:t>
        </x:is>
      </x:c>
      <x:c r="D81" s="2" t="inlineStr">
        <x:is>
          <x:t xml:space="preserve">F-012</x:t>
        </x:is>
      </x:c>
      <x:c r="E81" s="2" t="inlineStr">
        <x:is>
          <x:t xml:space="preserve">Is_End_to_End_Working</x:t>
        </x:is>
      </x:c>
      <x:c r="F81" s="2" t="inlineStr">
        <x:is>
          <x:t xml:space="preserve">YES</x:t>
        </x:is>
      </x:c>
      <x:c r="G81" s="2" t="inlineStr">
        <x:is>
          <x:t xml:space="preserve">NO</x:t>
        </x:is>
      </x:c>
      <x:c r="H81" s="2" t="inlineStr">
        <x:is>
          <x:t xml:space="preserve">Rebased to PDF brutal-evidence rules for this run.</x:t>
        </x:is>
      </x:c>
      <x:c r="I81" s="2" t="inlineStr">
        <x:is>
          <x:t xml:space="preserve">PDF 'Automation &amp; Schedulers' table + SECTION 12 blocker 4</x:t>
        </x:is>
      </x:c>
    </x:row>
    <x:row r="82">
      <x:c r="A82" s="2" t="inlineStr">
        <x:is>
          <x:t xml:space="preserve">C-000081</x:t>
        </x:is>
      </x:c>
      <x:c r="B82" s="8" t="n">
        <x:v>46030.15761975694</x:v>
      </x:c>
      <x:c r="C82" s="2" t="inlineStr">
        <x:is>
          <x:t xml:space="preserve">FULL_STACK_FEATURE_MATRIX</x:t>
        </x:is>
      </x:c>
      <x:c r="D82" s="2" t="inlineStr">
        <x:is>
          <x:t xml:space="preserve">F-012</x:t>
        </x:is>
      </x:c>
      <x:c r="E82" s="2" t="inlineStr">
        <x:is>
          <x:t xml:space="preserve">Blocker_Type</x:t>
        </x:is>
      </x:c>
      <x:c r="F82" s="2" t="inlineStr">
        <x:is>
          <x:t xml:space="preserve">None</x:t>
        </x:is>
      </x:c>
      <x:c r="G82" s="2" t="inlineStr">
        <x:is>
          <x:t xml:space="preserve">Infra</x:t>
        </x:is>
      </x:c>
      <x:c r="H82" s="2" t="inlineStr">
        <x:is>
          <x:t xml:space="preserve">Rebased to PDF brutal-evidence rules for this run.</x:t>
        </x:is>
      </x:c>
      <x:c r="I82" s="2" t="inlineStr">
        <x:is>
          <x:t xml:space="preserve">PDF 'Automation &amp; Schedulers' table + SECTION 12 blocker 4</x:t>
        </x:is>
      </x:c>
    </x:row>
    <x:row r="83">
      <x:c r="A83" s="2" t="inlineStr">
        <x:is>
          <x:t xml:space="preserve">C-000082</x:t>
        </x:is>
      </x:c>
      <x:c r="B83" s="8" t="n">
        <x:v>46030.15761975694</x:v>
      </x:c>
      <x:c r="C83" s="2" t="inlineStr">
        <x:is>
          <x:t xml:space="preserve">FULL_STACK_FEATURE_MATRIX</x:t>
        </x:is>
      </x:c>
      <x:c r="D83" s="2" t="inlineStr">
        <x:is>
          <x:t xml:space="preserve">F-012</x:t>
        </x:is>
      </x:c>
      <x:c r="E83" s="2" t="inlineStr">
        <x:is>
          <x:t xml:space="preserve">Blocker_Description</x:t>
        </x:is>
      </x:c>
      <x:c r="F83" s="2" t="inlineStr">
        <x:is>
          <x:t xml:space="preserve">Daily @ 11 AM.</x:t>
        </x:is>
      </x:c>
      <x:c r="G83" s="2" t="inlineStr">
        <x:is>
          <x:t xml:space="preserve">Scheduler code exists, but Cloud Scheduler disabled → not proven executing end-to-end.</x:t>
        </x:is>
      </x:c>
      <x:c r="H83" s="2" t="inlineStr">
        <x:is>
          <x:t xml:space="preserve">Rebased to PDF brutal-evidence rules for this run.</x:t>
        </x:is>
      </x:c>
      <x:c r="I83" s="2" t="inlineStr">
        <x:is>
          <x:t xml:space="preserve">PDF 'Automation &amp; Schedulers' table + SECTION 12 blocker 4</x:t>
        </x:is>
      </x:c>
    </x:row>
    <x:row r="84">
      <x:c r="A84" s="2" t="inlineStr">
        <x:is>
          <x:t xml:space="preserve">C-000083</x:t>
        </x:is>
      </x:c>
      <x:c r="B84" s="8" t="n">
        <x:v>46030.15761975694</x:v>
      </x:c>
      <x:c r="C84" s="2" t="inlineStr">
        <x:is>
          <x:t xml:space="preserve">FULL_STACK_FEATURE_MATRIX</x:t>
        </x:is>
      </x:c>
      <x:c r="D84" s="2" t="inlineStr">
        <x:is>
          <x:t xml:space="preserve">F-012</x:t>
        </x:is>
      </x:c>
      <x:c r="E84" s="2" t="inlineStr">
        <x:is>
          <x:t xml:space="preserve">Priority</x:t>
        </x:is>
      </x:c>
      <x:c r="F84" s="2" t="inlineStr">
        <x:is>
          <x:t xml:space="preserve">P2</x:t>
        </x:is>
      </x:c>
      <x:c r="G84" s="2" t="inlineStr">
        <x:is>
          <x:t xml:space="preserve">P1</x:t>
        </x:is>
      </x:c>
      <x:c r="H84" s="2" t="inlineStr">
        <x:is>
          <x:t xml:space="preserve">Rebased to PDF brutal-evidence rules for this run.</x:t>
        </x:is>
      </x:c>
      <x:c r="I84" s="2" t="inlineStr">
        <x:is>
          <x:t xml:space="preserve">PDF 'Automation &amp; Schedulers' table + SECTION 12 blocker 4</x:t>
        </x:is>
      </x:c>
    </x:row>
    <x:row r="85">
      <x:c r="A85" s="2" t="inlineStr">
        <x:is>
          <x:t xml:space="preserve">C-000084</x:t>
        </x:is>
      </x:c>
      <x:c r="B85" s="8" t="n">
        <x:v>46030.15761975694</x:v>
      </x:c>
      <x:c r="C85" s="2" t="inlineStr">
        <x:is>
          <x:t xml:space="preserve">FULL_STACK_FEATURE_MATRIX</x:t>
        </x:is>
      </x:c>
      <x:c r="D85" s="2" t="inlineStr">
        <x:is>
          <x:t xml:space="preserve">F-012</x:t>
        </x:is>
      </x:c>
      <x:c r="E85" s="2" t="inlineStr">
        <x:is>
          <x:t xml:space="preserve">Estimated_Effort_Hours</x:t>
        </x:is>
      </x:c>
      <x:c r="F85" s="2" t="inlineStr">
        <x:is>
          <x:t xml:space="preserve">4</x:t>
        </x:is>
      </x:c>
      <x:c r="G85" s="2" t="inlineStr">
        <x:is>
          <x:t xml:space="preserve">8</x:t>
        </x:is>
      </x:c>
      <x:c r="H85" s="2" t="inlineStr">
        <x:is>
          <x:t xml:space="preserve">Rebased to PDF brutal-evidence rules for this run.</x:t>
        </x:is>
      </x:c>
      <x:c r="I85" s="2" t="inlineStr">
        <x:is>
          <x:t xml:space="preserve">PDF 'Automation &amp; Schedulers' table + SECTION 12 blocker 4</x:t>
        </x:is>
      </x:c>
    </x:row>
    <x:row r="86">
      <x:c r="A86" s="2" t="inlineStr">
        <x:is>
          <x:t xml:space="preserve">C-000085</x:t>
        </x:is>
      </x:c>
      <x:c r="B86" s="8" t="n">
        <x:v>46030.15761975694</x:v>
      </x:c>
      <x:c r="C86" s="2" t="inlineStr">
        <x:is>
          <x:t xml:space="preserve">FULL_STACK_FEATURE_MATRIX</x:t>
        </x:is>
      </x:c>
      <x:c r="D86" s="2" t="inlineStr">
        <x:is>
          <x:t xml:space="preserve">F-012</x:t>
        </x:is>
      </x:c>
      <x:c r="E86" s="2" t="inlineStr">
        <x:is>
          <x:t xml:space="preserve">Execution_Order</x:t>
        </x:is>
      </x:c>
      <x:c r="F86" s="2" t="inlineStr">
        <x:is>
          <x:t xml:space="preserve">12</x:t>
        </x:is>
      </x:c>
      <x:c r="G86" s="2" t="inlineStr">
        <x:is>
          <x:t xml:space="preserve">10</x:t>
        </x:is>
      </x:c>
      <x:c r="H86" s="2" t="inlineStr">
        <x:is>
          <x:t xml:space="preserve">Rebased to PDF brutal-evidence rules for this run.</x:t>
        </x:is>
      </x:c>
      <x:c r="I86" s="2" t="inlineStr">
        <x:is>
          <x:t xml:space="preserve">PDF 'Automation &amp; Schedulers' table + SECTION 12 blocker 4</x:t>
        </x:is>
      </x:c>
    </x:row>
    <x:row r="87">
      <x:c r="A87" s="2" t="inlineStr">
        <x:is>
          <x:t xml:space="preserve">C-000086</x:t>
        </x:is>
      </x:c>
      <x:c r="B87" s="8" t="n">
        <x:v>46030.15761975694</x:v>
      </x:c>
      <x:c r="C87" s="2" t="inlineStr">
        <x:is>
          <x:t xml:space="preserve">FULL_STACK_FEATURE_MATRIX</x:t>
        </x:is>
      </x:c>
      <x:c r="D87" s="2" t="inlineStr">
        <x:is>
          <x:t xml:space="preserve">F-012</x:t>
        </x:is>
      </x:c>
      <x:c r="E87" s="2" t="inlineStr">
        <x:is>
          <x:t xml:space="preserve">Last_Updated_At</x:t>
        </x:is>
      </x:c>
      <x:c r="F87" s="2" t="inlineStr">
        <x:is>
          <x:t xml:space="preserve"/>
        </x:is>
      </x:c>
      <x:c r="G87" s="2" t="inlineStr">
        <x:is>
          <x:t xml:space="preserve">2026-01-08 03:46:58</x:t>
        </x:is>
      </x:c>
      <x:c r="H87" s="2" t="inlineStr">
        <x:is>
          <x:t xml:space="preserve">Timestamp tracking added.</x:t>
        </x:is>
      </x:c>
      <x:c r="I87" s="2" t="inlineStr">
        <x:is>
          <x:t xml:space="preserve">PDF 'Automation &amp; Schedulers' table + SECTION 12 blocker 4</x:t>
        </x:is>
      </x:c>
    </x:row>
    <x:row r="88">
      <x:c r="A88" s="2" t="inlineStr">
        <x:is>
          <x:t xml:space="preserve">C-000087</x:t>
        </x:is>
      </x:c>
      <x:c r="B88" s="8" t="n">
        <x:v>46030.15761975694</x:v>
      </x:c>
      <x:c r="C88" s="2" t="inlineStr">
        <x:is>
          <x:t xml:space="preserve">FULL_STACK_FEATURE_MATRIX</x:t>
        </x:is>
      </x:c>
      <x:c r="D88" s="2" t="inlineStr">
        <x:is>
          <x:t xml:space="preserve">F-012</x:t>
        </x:is>
      </x:c>
      <x:c r="E88" s="2" t="inlineStr">
        <x:is>
          <x:t xml:space="preserve">Last_Updated_By</x:t>
        </x:is>
      </x:c>
      <x:c r="F88" s="2" t="inlineStr">
        <x:is>
          <x:t xml:space="preserve"/>
        </x:is>
      </x:c>
      <x:c r="G88" s="2" t="inlineStr">
        <x:is>
          <x:t xml:space="preserve">ChatGPT</x:t>
        </x:is>
      </x:c>
      <x:c r="H88" s="2" t="inlineStr">
        <x:is>
          <x:t xml:space="preserve">Timestamp tracking added.</x:t>
        </x:is>
      </x:c>
      <x:c r="I88" s="2" t="inlineStr">
        <x:is>
          <x:t xml:space="preserve">PDF 'Automation &amp; Schedulers' table + SECTION 12 blocker 4</x:t>
        </x:is>
      </x:c>
    </x:row>
    <x:row r="89">
      <x:c r="A89" s="2" t="inlineStr">
        <x:is>
          <x:t xml:space="preserve">C-000088</x:t>
        </x:is>
      </x:c>
      <x:c r="B89" s="8" t="n">
        <x:v>46030.15761975694</x:v>
      </x:c>
      <x:c r="C89" s="2" t="inlineStr">
        <x:is>
          <x:t xml:space="preserve">FULL_STACK_FEATURE_MATRIX</x:t>
        </x:is>
      </x:c>
      <x:c r="D89" s="2" t="inlineStr">
        <x:is>
          <x:t xml:space="preserve">F-012</x:t>
        </x:is>
      </x:c>
      <x:c r="E89" s="2" t="inlineStr">
        <x:is>
          <x:t xml:space="preserve">Evidence_Ref</x:t>
        </x:is>
      </x:c>
      <x:c r="F89" s="2" t="inlineStr">
        <x:is>
          <x:t xml:space="preserve"/>
        </x:is>
      </x:c>
      <x:c r="G89" s="2" t="inlineStr">
        <x:is>
          <x:t xml:space="preserve">PDF 'Automation &amp; Schedulers' table + SECTION 12 blocker 4</x:t>
        </x:is>
      </x:c>
      <x:c r="H89" s="2" t="inlineStr">
        <x:is>
          <x:t xml:space="preserve">Evidence tracking added.</x:t>
        </x:is>
      </x:c>
      <x:c r="I89" s="2" t="inlineStr">
        <x:is>
          <x:t xml:space="preserve">PDF 'Automation &amp; Schedulers' table + SECTION 12 blocker 4</x:t>
        </x:is>
      </x:c>
    </x:row>
    <x:row r="90">
      <x:c r="A90" s="2" t="inlineStr">
        <x:is>
          <x:t xml:space="preserve">C-000089</x:t>
        </x:is>
      </x:c>
      <x:c r="B90" s="8" t="n">
        <x:v>46030.15761975694</x:v>
      </x:c>
      <x:c r="C90" s="2" t="inlineStr">
        <x:is>
          <x:t xml:space="preserve">FULL_STACK_FEATURE_MATRIX</x:t>
        </x:is>
      </x:c>
      <x:c r="D90" s="2" t="inlineStr">
        <x:is>
          <x:t xml:space="preserve">F-013</x:t>
        </x:is>
      </x:c>
      <x:c r="E90" s="2" t="inlineStr">
        <x:is>
          <x:t xml:space="preserve">Blocker_Description</x:t>
        </x:is>
      </x:c>
      <x:c r="F90" s="2" t="inlineStr">
        <x:is>
          <x:t xml:space="preserve">Trigger on offer status update.</x:t>
        </x:is>
      </x:c>
      <x:c r="G90" s="2" t="inlineStr">
        <x:is>
          <x:t xml:space="preserve"/>
        </x:is>
      </x:c>
      <x:c r="H90" s="2" t="inlineStr">
        <x:is>
          <x:t xml:space="preserve">Rebased to PDF brutal-evidence rules for this run.</x:t>
        </x:is>
      </x:c>
      <x:c r="I90" s="2" t="inlineStr">
        <x:is>
          <x:t xml:space="preserve">PDF 'Automation &amp; Schedulers' table (Firestore trigger)</x:t>
        </x:is>
      </x:c>
    </x:row>
    <x:row r="91">
      <x:c r="A91" s="2" t="inlineStr">
        <x:is>
          <x:t xml:space="preserve">C-000090</x:t>
        </x:is>
      </x:c>
      <x:c r="B91" s="8" t="n">
        <x:v>46030.15761975694</x:v>
      </x:c>
      <x:c r="C91" s="2" t="inlineStr">
        <x:is>
          <x:t xml:space="preserve">FULL_STACK_FEATURE_MATRIX</x:t>
        </x:is>
      </x:c>
      <x:c r="D91" s="2" t="inlineStr">
        <x:is>
          <x:t xml:space="preserve">F-013</x:t>
        </x:is>
      </x:c>
      <x:c r="E91" s="2" t="inlineStr">
        <x:is>
          <x:t xml:space="preserve">Execution_Order</x:t>
        </x:is>
      </x:c>
      <x:c r="F91" s="2" t="inlineStr">
        <x:is>
          <x:t xml:space="preserve">13</x:t>
        </x:is>
      </x:c>
      <x:c r="G91" s="2" t="inlineStr">
        <x:is>
          <x:t xml:space="preserve">27</x:t>
        </x:is>
      </x:c>
      <x:c r="H91" s="2" t="inlineStr">
        <x:is>
          <x:t xml:space="preserve">Rebased to PDF brutal-evidence rules for this run.</x:t>
        </x:is>
      </x:c>
      <x:c r="I91" s="2" t="inlineStr">
        <x:is>
          <x:t xml:space="preserve">PDF 'Automation &amp; Schedulers' table (Firestore trigger)</x:t>
        </x:is>
      </x:c>
    </x:row>
    <x:row r="92">
      <x:c r="A92" s="2" t="inlineStr">
        <x:is>
          <x:t xml:space="preserve">C-000091</x:t>
        </x:is>
      </x:c>
      <x:c r="B92" s="8" t="n">
        <x:v>46030.15761975694</x:v>
      </x:c>
      <x:c r="C92" s="2" t="inlineStr">
        <x:is>
          <x:t xml:space="preserve">FULL_STACK_FEATURE_MATRIX</x:t>
        </x:is>
      </x:c>
      <x:c r="D92" s="2" t="inlineStr">
        <x:is>
          <x:t xml:space="preserve">F-013</x:t>
        </x:is>
      </x:c>
      <x:c r="E92" s="2" t="inlineStr">
        <x:is>
          <x:t xml:space="preserve">Last_Updated_At</x:t>
        </x:is>
      </x:c>
      <x:c r="F92" s="2" t="inlineStr">
        <x:is>
          <x:t xml:space="preserve"/>
        </x:is>
      </x:c>
      <x:c r="G92" s="2" t="inlineStr">
        <x:is>
          <x:t xml:space="preserve">2026-01-08 03:46:58</x:t>
        </x:is>
      </x:c>
      <x:c r="H92" s="2" t="inlineStr">
        <x:is>
          <x:t xml:space="preserve">Timestamp tracking added.</x:t>
        </x:is>
      </x:c>
      <x:c r="I92" s="2" t="inlineStr">
        <x:is>
          <x:t xml:space="preserve">PDF 'Automation &amp; Schedulers' table (Firestore trigger)</x:t>
        </x:is>
      </x:c>
    </x:row>
    <x:row r="93">
      <x:c r="A93" s="2" t="inlineStr">
        <x:is>
          <x:t xml:space="preserve">C-000092</x:t>
        </x:is>
      </x:c>
      <x:c r="B93" s="8" t="n">
        <x:v>46030.15761975694</x:v>
      </x:c>
      <x:c r="C93" s="2" t="inlineStr">
        <x:is>
          <x:t xml:space="preserve">FULL_STACK_FEATURE_MATRIX</x:t>
        </x:is>
      </x:c>
      <x:c r="D93" s="2" t="inlineStr">
        <x:is>
          <x:t xml:space="preserve">F-013</x:t>
        </x:is>
      </x:c>
      <x:c r="E93" s="2" t="inlineStr">
        <x:is>
          <x:t xml:space="preserve">Last_Updated_By</x:t>
        </x:is>
      </x:c>
      <x:c r="F93" s="2" t="inlineStr">
        <x:is>
          <x:t xml:space="preserve"/>
        </x:is>
      </x:c>
      <x:c r="G93" s="2" t="inlineStr">
        <x:is>
          <x:t xml:space="preserve">ChatGPT</x:t>
        </x:is>
      </x:c>
      <x:c r="H93" s="2" t="inlineStr">
        <x:is>
          <x:t xml:space="preserve">Timestamp tracking added.</x:t>
        </x:is>
      </x:c>
      <x:c r="I93" s="2" t="inlineStr">
        <x:is>
          <x:t xml:space="preserve">PDF 'Automation &amp; Schedulers' table (Firestore trigger)</x:t>
        </x:is>
      </x:c>
    </x:row>
    <x:row r="94">
      <x:c r="A94" s="2" t="inlineStr">
        <x:is>
          <x:t xml:space="preserve">C-000093</x:t>
        </x:is>
      </x:c>
      <x:c r="B94" s="8" t="n">
        <x:v>46030.15761975694</x:v>
      </x:c>
      <x:c r="C94" s="2" t="inlineStr">
        <x:is>
          <x:t xml:space="preserve">FULL_STACK_FEATURE_MATRIX</x:t>
        </x:is>
      </x:c>
      <x:c r="D94" s="2" t="inlineStr">
        <x:is>
          <x:t xml:space="preserve">F-013</x:t>
        </x:is>
      </x:c>
      <x:c r="E94" s="2" t="inlineStr">
        <x:is>
          <x:t xml:space="preserve">Evidence_Ref</x:t>
        </x:is>
      </x:c>
      <x:c r="F94" s="2" t="inlineStr">
        <x:is>
          <x:t xml:space="preserve"/>
        </x:is>
      </x:c>
      <x:c r="G94" s="2" t="inlineStr">
        <x:is>
          <x:t xml:space="preserve">PDF 'Automation &amp; Schedulers' table (Firestore trigger)</x:t>
        </x:is>
      </x:c>
      <x:c r="H94" s="2" t="inlineStr">
        <x:is>
          <x:t xml:space="preserve">Evidence tracking added.</x:t>
        </x:is>
      </x:c>
      <x:c r="I94" s="2" t="inlineStr">
        <x:is>
          <x:t xml:space="preserve">PDF 'Automation &amp; Schedulers' table (Firestore trigger)</x:t>
        </x:is>
      </x:c>
    </x:row>
    <x:row r="95">
      <x:c r="A95" s="2" t="inlineStr">
        <x:is>
          <x:t xml:space="preserve">C-000094</x:t>
        </x:is>
      </x:c>
      <x:c r="B95" s="8" t="n">
        <x:v>46030.15761975694</x:v>
      </x:c>
      <x:c r="C95" s="2" t="inlineStr">
        <x:is>
          <x:t xml:space="preserve">FULL_STACK_FEATURE_MATRIX</x:t>
        </x:is>
      </x:c>
      <x:c r="D95" s="2" t="inlineStr">
        <x:is>
          <x:t xml:space="preserve">F-014</x:t>
        </x:is>
      </x:c>
      <x:c r="E95" s="2" t="inlineStr">
        <x:is>
          <x:t xml:space="preserve">Web_Admin_Completion_%</x:t>
        </x:is>
      </x:c>
      <x:c r="F95" s="2" t="inlineStr">
        <x:is>
          <x:t xml:space="preserve">40</x:t>
        </x:is>
      </x:c>
      <x:c r="G95" s="2" t="inlineStr">
        <x:is>
          <x:t xml:space="preserve">30</x:t>
        </x:is>
      </x:c>
      <x:c r="H95" s="2" t="inlineStr">
        <x:is>
          <x:t xml:space="preserve">Rebased to PDF brutal-evidence rules for this run.</x:t>
        </x:is>
      </x:c>
      <x:c r="I95" s="2" t="inlineStr">
        <x:is>
          <x:t xml:space="preserve">PDF 'Automation &amp; Schedulers' table (sendBatchNotification callable)</x:t>
        </x:is>
      </x:c>
    </x:row>
    <x:row r="96">
      <x:c r="A96" s="2" t="inlineStr">
        <x:is>
          <x:t xml:space="preserve">C-000095</x:t>
        </x:is>
      </x:c>
      <x:c r="B96" s="8" t="n">
        <x:v>46030.15761975694</x:v>
      </x:c>
      <x:c r="C96" s="2" t="inlineStr">
        <x:is>
          <x:t xml:space="preserve">FULL_STACK_FEATURE_MATRIX</x:t>
        </x:is>
      </x:c>
      <x:c r="D96" s="2" t="inlineStr">
        <x:is>
          <x:t xml:space="preserve">F-014</x:t>
        </x:is>
      </x:c>
      <x:c r="E96" s="2" t="inlineStr">
        <x:is>
          <x:t xml:space="preserve">Blocker_Description</x:t>
        </x:is>
      </x:c>
      <x:c r="F96" s="2" t="inlineStr">
        <x:is>
          <x:t xml:space="preserve">No admin UI for campaigns; only callable exists.</x:t>
        </x:is>
      </x:c>
      <x:c r="G96" s="2" t="inlineStr">
        <x:is>
          <x:t xml:space="preserve">Backend callable exists; PDF indicates no admin UI for push campaigns.</x:t>
        </x:is>
      </x:c>
      <x:c r="H96" s="2" t="inlineStr">
        <x:is>
          <x:t xml:space="preserve">Rebased to PDF brutal-evidence rules for this run.</x:t>
        </x:is>
      </x:c>
      <x:c r="I96" s="2" t="inlineStr">
        <x:is>
          <x:t xml:space="preserve">PDF 'Automation &amp; Schedulers' table (sendBatchNotification callable)</x:t>
        </x:is>
      </x:c>
    </x:row>
    <x:row r="97">
      <x:c r="A97" s="2" t="inlineStr">
        <x:is>
          <x:t xml:space="preserve">C-000096</x:t>
        </x:is>
      </x:c>
      <x:c r="B97" s="8" t="n">
        <x:v>46030.15761975694</x:v>
      </x:c>
      <x:c r="C97" s="2" t="inlineStr">
        <x:is>
          <x:t xml:space="preserve">FULL_STACK_FEATURE_MATRIX</x:t>
        </x:is>
      </x:c>
      <x:c r="D97" s="2" t="inlineStr">
        <x:is>
          <x:t xml:space="preserve">F-014</x:t>
        </x:is>
      </x:c>
      <x:c r="E97" s="2" t="inlineStr">
        <x:is>
          <x:t xml:space="preserve">Priority</x:t>
        </x:is>
      </x:c>
      <x:c r="F97" s="2" t="inlineStr">
        <x:is>
          <x:t xml:space="preserve">P1</x:t>
        </x:is>
      </x:c>
      <x:c r="G97" s="2" t="inlineStr">
        <x:is>
          <x:t xml:space="preserve">P2</x:t>
        </x:is>
      </x:c>
      <x:c r="H97" s="2" t="inlineStr">
        <x:is>
          <x:t xml:space="preserve">Rebased to PDF brutal-evidence rules for this run.</x:t>
        </x:is>
      </x:c>
      <x:c r="I97" s="2" t="inlineStr">
        <x:is>
          <x:t xml:space="preserve">PDF 'Automation &amp; Schedulers' table (sendBatchNotification callable)</x:t>
        </x:is>
      </x:c>
    </x:row>
    <x:row r="98">
      <x:c r="A98" s="2" t="inlineStr">
        <x:is>
          <x:t xml:space="preserve">C-000097</x:t>
        </x:is>
      </x:c>
      <x:c r="B98" s="8" t="n">
        <x:v>46030.15761975694</x:v>
      </x:c>
      <x:c r="C98" s="2" t="inlineStr">
        <x:is>
          <x:t xml:space="preserve">FULL_STACK_FEATURE_MATRIX</x:t>
        </x:is>
      </x:c>
      <x:c r="D98" s="2" t="inlineStr">
        <x:is>
          <x:t xml:space="preserve">F-014</x:t>
        </x:is>
      </x:c>
      <x:c r="E98" s="2" t="inlineStr">
        <x:is>
          <x:t xml:space="preserve">Execution_Order</x:t>
        </x:is>
      </x:c>
      <x:c r="F98" s="2" t="inlineStr">
        <x:is>
          <x:t xml:space="preserve">14</x:t>
        </x:is>
      </x:c>
      <x:c r="G98" s="2" t="inlineStr">
        <x:is>
          <x:t xml:space="preserve">28</x:t>
        </x:is>
      </x:c>
      <x:c r="H98" s="2" t="inlineStr">
        <x:is>
          <x:t xml:space="preserve">Rebased to PDF brutal-evidence rules for this run.</x:t>
        </x:is>
      </x:c>
      <x:c r="I98" s="2" t="inlineStr">
        <x:is>
          <x:t xml:space="preserve">PDF 'Automation &amp; Schedulers' table (sendBatchNotification callable)</x:t>
        </x:is>
      </x:c>
    </x:row>
    <x:row r="99">
      <x:c r="A99" s="2" t="inlineStr">
        <x:is>
          <x:t xml:space="preserve">C-000098</x:t>
        </x:is>
      </x:c>
      <x:c r="B99" s="8" t="n">
        <x:v>46030.15761975694</x:v>
      </x:c>
      <x:c r="C99" s="2" t="inlineStr">
        <x:is>
          <x:t xml:space="preserve">FULL_STACK_FEATURE_MATRIX</x:t>
        </x:is>
      </x:c>
      <x:c r="D99" s="2" t="inlineStr">
        <x:is>
          <x:t xml:space="preserve">F-014</x:t>
        </x:is>
      </x:c>
      <x:c r="E99" s="2" t="inlineStr">
        <x:is>
          <x:t xml:space="preserve">Last_Updated_At</x:t>
        </x:is>
      </x:c>
      <x:c r="F99" s="2" t="inlineStr">
        <x:is>
          <x:t xml:space="preserve"/>
        </x:is>
      </x:c>
      <x:c r="G99" s="2" t="inlineStr">
        <x:is>
          <x:t xml:space="preserve">2026-01-08 03:46:58</x:t>
        </x:is>
      </x:c>
      <x:c r="H99" s="2" t="inlineStr">
        <x:is>
          <x:t xml:space="preserve">Timestamp tracking added.</x:t>
        </x:is>
      </x:c>
      <x:c r="I99" s="2" t="inlineStr">
        <x:is>
          <x:t xml:space="preserve">PDF 'Automation &amp; Schedulers' table (sendBatchNotification callable)</x:t>
        </x:is>
      </x:c>
    </x:row>
    <x:row r="100">
      <x:c r="A100" s="2" t="inlineStr">
        <x:is>
          <x:t xml:space="preserve">C-000099</x:t>
        </x:is>
      </x:c>
      <x:c r="B100" s="8" t="n">
        <x:v>46030.15761975694</x:v>
      </x:c>
      <x:c r="C100" s="2" t="inlineStr">
        <x:is>
          <x:t xml:space="preserve">FULL_STACK_FEATURE_MATRIX</x:t>
        </x:is>
      </x:c>
      <x:c r="D100" s="2" t="inlineStr">
        <x:is>
          <x:t xml:space="preserve">F-014</x:t>
        </x:is>
      </x:c>
      <x:c r="E100" s="2" t="inlineStr">
        <x:is>
          <x:t xml:space="preserve">Last_Updated_By</x:t>
        </x:is>
      </x:c>
      <x:c r="F100" s="2" t="inlineStr">
        <x:is>
          <x:t xml:space="preserve"/>
        </x:is>
      </x:c>
      <x:c r="G100" s="2" t="inlineStr">
        <x:is>
          <x:t xml:space="preserve">ChatGPT</x:t>
        </x:is>
      </x:c>
      <x:c r="H100" s="2" t="inlineStr">
        <x:is>
          <x:t xml:space="preserve">Timestamp tracking added.</x:t>
        </x:is>
      </x:c>
      <x:c r="I100" s="2" t="inlineStr">
        <x:is>
          <x:t xml:space="preserve">PDF 'Automation &amp; Schedulers' table (sendBatchNotification callable)</x:t>
        </x:is>
      </x:c>
    </x:row>
    <x:row r="101">
      <x:c r="A101" s="2" t="inlineStr">
        <x:is>
          <x:t xml:space="preserve">C-000100</x:t>
        </x:is>
      </x:c>
      <x:c r="B101" s="8" t="n">
        <x:v>46030.15761975694</x:v>
      </x:c>
      <x:c r="C101" s="2" t="inlineStr">
        <x:is>
          <x:t xml:space="preserve">FULL_STACK_FEATURE_MATRIX</x:t>
        </x:is>
      </x:c>
      <x:c r="D101" s="2" t="inlineStr">
        <x:is>
          <x:t xml:space="preserve">F-014</x:t>
        </x:is>
      </x:c>
      <x:c r="E101" s="2" t="inlineStr">
        <x:is>
          <x:t xml:space="preserve">Evidence_Ref</x:t>
        </x:is>
      </x:c>
      <x:c r="F101" s="2" t="inlineStr">
        <x:is>
          <x:t xml:space="preserve"/>
        </x:is>
      </x:c>
      <x:c r="G101" s="2" t="inlineStr">
        <x:is>
          <x:t xml:space="preserve">PDF 'Automation &amp; Schedulers' table (sendBatchNotification callable)</x:t>
        </x:is>
      </x:c>
      <x:c r="H101" s="2" t="inlineStr">
        <x:is>
          <x:t xml:space="preserve">Evidence tracking added.</x:t>
        </x:is>
      </x:c>
      <x:c r="I101" s="2" t="inlineStr">
        <x:is>
          <x:t xml:space="preserve">PDF 'Automation &amp; Schedulers' table (sendBatchNotification callable)</x:t>
        </x:is>
      </x:c>
    </x:row>
    <x:row r="102">
      <x:c r="A102" s="2" t="inlineStr">
        <x:is>
          <x:t xml:space="preserve">C-000101</x:t>
        </x:is>
      </x:c>
      <x:c r="B102" s="8" t="n">
        <x:v>46030.15761975694</x:v>
      </x:c>
      <x:c r="C102" s="2" t="inlineStr">
        <x:is>
          <x:t xml:space="preserve">FULL_STACK_FEATURE_MATRIX</x:t>
        </x:is>
      </x:c>
      <x:c r="D102" s="2" t="inlineStr">
        <x:is>
          <x:t xml:space="preserve">F-015</x:t>
        </x:is>
      </x:c>
      <x:c r="E102" s="2" t="inlineStr">
        <x:is>
          <x:t xml:space="preserve">Blocker_Type</x:t>
        </x:is>
      </x:c>
      <x:c r="F102" s="2" t="inlineStr">
        <x:is>
          <x:t xml:space="preserve">Business</x:t>
        </x:is>
      </x:c>
      <x:c r="G102" s="2" t="inlineStr">
        <x:is>
          <x:t xml:space="preserve">Infra</x:t>
        </x:is>
      </x:c>
      <x:c r="H102" s="2" t="inlineStr">
        <x:is>
          <x:t xml:space="preserve">Rebased to PDF brutal-evidence rules for this run.</x:t>
        </x:is>
      </x:c>
      <x:c r="I102" s="2" t="inlineStr">
        <x:is>
          <x:t xml:space="preserve">PDF SECTION 5 item 3 + SECTION 12 blocker 4 context</x:t>
        </x:is>
      </x:c>
    </x:row>
    <x:row r="103">
      <x:c r="A103" s="2" t="inlineStr">
        <x:is>
          <x:t xml:space="preserve">C-000102</x:t>
        </x:is>
      </x:c>
      <x:c r="B103" s="8" t="n">
        <x:v>46030.15761975694</x:v>
      </x:c>
      <x:c r="C103" s="2" t="inlineStr">
        <x:is>
          <x:t xml:space="preserve">FULL_STACK_FEATURE_MATRIX</x:t>
        </x:is>
      </x:c>
      <x:c r="D103" s="2" t="inlineStr">
        <x:is>
          <x:t xml:space="preserve">F-015</x:t>
        </x:is>
      </x:c>
      <x:c r="E103" s="2" t="inlineStr">
        <x:is>
          <x:t xml:space="preserve">Blocker_Description</x:t>
        </x:is>
      </x:c>
      <x:c r="F103" s="2" t="inlineStr">
        <x:is>
          <x:t xml:space="preserve">Scheduler exists; not integrated into offer creation UI; visibility not enforced in frontend queries.</x:t>
        </x:is>
      </x:c>
      <x:c r="G103" s="2" t="inlineStr">
        <x:is>
          <x:t xml:space="preserve">Scheduler code exists, but Cloud Scheduler disabled → not proven executing end-to-end.</x:t>
        </x:is>
      </x:c>
      <x:c r="H103" s="2" t="inlineStr">
        <x:is>
          <x:t xml:space="preserve">Rebased to PDF brutal-evidence rules for this run.</x:t>
        </x:is>
      </x:c>
      <x:c r="I103" s="2" t="inlineStr">
        <x:is>
          <x:t xml:space="preserve">PDF SECTION 5 item 3 + SECTION 12 blocker 4 context</x:t>
        </x:is>
      </x:c>
    </x:row>
    <x:row r="104">
      <x:c r="A104" s="2" t="inlineStr">
        <x:is>
          <x:t xml:space="preserve">C-000103</x:t>
        </x:is>
      </x:c>
      <x:c r="B104" s="8" t="n">
        <x:v>46030.15761975694</x:v>
      </x:c>
      <x:c r="C104" s="2" t="inlineStr">
        <x:is>
          <x:t xml:space="preserve">FULL_STACK_FEATURE_MATRIX</x:t>
        </x:is>
      </x:c>
      <x:c r="D104" s="2" t="inlineStr">
        <x:is>
          <x:t xml:space="preserve">F-015</x:t>
        </x:is>
      </x:c>
      <x:c r="E104" s="2" t="inlineStr">
        <x:is>
          <x:t xml:space="preserve">Execution_Order</x:t>
        </x:is>
      </x:c>
      <x:c r="F104" s="2" t="inlineStr">
        <x:is>
          <x:t xml:space="preserve">15</x:t>
        </x:is>
      </x:c>
      <x:c r="G104" s="2" t="inlineStr">
        <x:is>
          <x:t xml:space="preserve">11</x:t>
        </x:is>
      </x:c>
      <x:c r="H104" s="2" t="inlineStr">
        <x:is>
          <x:t xml:space="preserve">Rebased to PDF brutal-evidence rules for this run.</x:t>
        </x:is>
      </x:c>
      <x:c r="I104" s="2" t="inlineStr">
        <x:is>
          <x:t xml:space="preserve">PDF SECTION 5 item 3 + SECTION 12 blocker 4 context</x:t>
        </x:is>
      </x:c>
    </x:row>
    <x:row r="105">
      <x:c r="A105" s="2" t="inlineStr">
        <x:is>
          <x:t xml:space="preserve">C-000104</x:t>
        </x:is>
      </x:c>
      <x:c r="B105" s="8" t="n">
        <x:v>46030.15761975694</x:v>
      </x:c>
      <x:c r="C105" s="2" t="inlineStr">
        <x:is>
          <x:t xml:space="preserve">FULL_STACK_FEATURE_MATRIX</x:t>
        </x:is>
      </x:c>
      <x:c r="D105" s="2" t="inlineStr">
        <x:is>
          <x:t xml:space="preserve">F-015</x:t>
        </x:is>
      </x:c>
      <x:c r="E105" s="2" t="inlineStr">
        <x:is>
          <x:t xml:space="preserve">Last_Updated_At</x:t>
        </x:is>
      </x:c>
      <x:c r="F105" s="2" t="inlineStr">
        <x:is>
          <x:t xml:space="preserve"/>
        </x:is>
      </x:c>
      <x:c r="G105" s="2" t="inlineStr">
        <x:is>
          <x:t xml:space="preserve">2026-01-08 03:46:58</x:t>
        </x:is>
      </x:c>
      <x:c r="H105" s="2" t="inlineStr">
        <x:is>
          <x:t xml:space="preserve">Timestamp tracking added.</x:t>
        </x:is>
      </x:c>
      <x:c r="I105" s="2" t="inlineStr">
        <x:is>
          <x:t xml:space="preserve">PDF SECTION 5 item 3 + SECTION 12 blocker 4 context</x:t>
        </x:is>
      </x:c>
    </x:row>
    <x:row r="106">
      <x:c r="A106" s="2" t="inlineStr">
        <x:is>
          <x:t xml:space="preserve">C-000105</x:t>
        </x:is>
      </x:c>
      <x:c r="B106" s="8" t="n">
        <x:v>46030.15761975694</x:v>
      </x:c>
      <x:c r="C106" s="2" t="inlineStr">
        <x:is>
          <x:t xml:space="preserve">FULL_STACK_FEATURE_MATRIX</x:t>
        </x:is>
      </x:c>
      <x:c r="D106" s="2" t="inlineStr">
        <x:is>
          <x:t xml:space="preserve">F-015</x:t>
        </x:is>
      </x:c>
      <x:c r="E106" s="2" t="inlineStr">
        <x:is>
          <x:t xml:space="preserve">Last_Updated_By</x:t>
        </x:is>
      </x:c>
      <x:c r="F106" s="2" t="inlineStr">
        <x:is>
          <x:t xml:space="preserve"/>
        </x:is>
      </x:c>
      <x:c r="G106" s="2" t="inlineStr">
        <x:is>
          <x:t xml:space="preserve">ChatGPT</x:t>
        </x:is>
      </x:c>
      <x:c r="H106" s="2" t="inlineStr">
        <x:is>
          <x:t xml:space="preserve">Timestamp tracking added.</x:t>
        </x:is>
      </x:c>
      <x:c r="I106" s="2" t="inlineStr">
        <x:is>
          <x:t xml:space="preserve">PDF SECTION 5 item 3 + SECTION 12 blocker 4 context</x:t>
        </x:is>
      </x:c>
    </x:row>
    <x:row r="107">
      <x:c r="A107" s="2" t="inlineStr">
        <x:is>
          <x:t xml:space="preserve">C-000106</x:t>
        </x:is>
      </x:c>
      <x:c r="B107" s="8" t="n">
        <x:v>46030.15761975694</x:v>
      </x:c>
      <x:c r="C107" s="2" t="inlineStr">
        <x:is>
          <x:t xml:space="preserve">FULL_STACK_FEATURE_MATRIX</x:t>
        </x:is>
      </x:c>
      <x:c r="D107" s="2" t="inlineStr">
        <x:is>
          <x:t xml:space="preserve">F-015</x:t>
        </x:is>
      </x:c>
      <x:c r="E107" s="2" t="inlineStr">
        <x:is>
          <x:t xml:space="preserve">Evidence_Ref</x:t>
        </x:is>
      </x:c>
      <x:c r="F107" s="2" t="inlineStr">
        <x:is>
          <x:t xml:space="preserve"/>
        </x:is>
      </x:c>
      <x:c r="G107" s="2" t="inlineStr">
        <x:is>
          <x:t xml:space="preserve">PDF SECTION 5 item 3 + SECTION 12 blocker 4 context</x:t>
        </x:is>
      </x:c>
      <x:c r="H107" s="2" t="inlineStr">
        <x:is>
          <x:t xml:space="preserve">Evidence tracking added.</x:t>
        </x:is>
      </x:c>
      <x:c r="I107" s="2" t="inlineStr">
        <x:is>
          <x:t xml:space="preserve">PDF SECTION 5 item 3 + SECTION 12 blocker 4 context</x:t>
        </x:is>
      </x:c>
    </x:row>
    <x:row r="108">
      <x:c r="A108" s="2" t="inlineStr">
        <x:is>
          <x:t xml:space="preserve">C-000107</x:t>
        </x:is>
      </x:c>
      <x:c r="B108" s="8" t="n">
        <x:v>46030.15761975694</x:v>
      </x:c>
      <x:c r="C108" s="2" t="inlineStr">
        <x:is>
          <x:t xml:space="preserve">FULL_STACK_FEATURE_MATRIX</x:t>
        </x:is>
      </x:c>
      <x:c r="D108" s="2" t="inlineStr">
        <x:is>
          <x:t xml:space="preserve">F-016</x:t>
        </x:is>
      </x:c>
      <x:c r="E108" s="2" t="inlineStr">
        <x:is>
          <x:t xml:space="preserve">Backend_Completion_%</x:t>
        </x:is>
      </x:c>
      <x:c r="F108" s="2" t="inlineStr">
        <x:is>
          <x:t xml:space="preserve">30</x:t>
        </x:is>
      </x:c>
      <x:c r="G108" s="2" t="inlineStr">
        <x:is>
          <x:t xml:space="preserve">60</x:t>
        </x:is>
      </x:c>
      <x:c r="H108" s="2" t="inlineStr">
        <x:is>
          <x:t xml:space="preserve">Rebased to PDF brutal-evidence rules for this run.</x:t>
        </x:is>
      </x:c>
      <x:c r="I108" s="2" t="inlineStr">
        <x:is>
          <x:t xml:space="preserve">PDF SECTION 5 item 4 + SECTION 12 blocker 4</x:t>
        </x:is>
      </x:c>
    </x:row>
    <x:row r="109">
      <x:c r="A109" s="2" t="inlineStr">
        <x:is>
          <x:t xml:space="preserve">C-000108</x:t>
        </x:is>
      </x:c>
      <x:c r="B109" s="8" t="n">
        <x:v>46030.15761975694</x:v>
      </x:c>
      <x:c r="C109" s="2" t="inlineStr">
        <x:is>
          <x:t xml:space="preserve">FULL_STACK_FEATURE_MATRIX</x:t>
        </x:is>
      </x:c>
      <x:c r="D109" s="2" t="inlineStr">
        <x:is>
          <x:t xml:space="preserve">F-016</x:t>
        </x:is>
      </x:c>
      <x:c r="E109" s="2" t="inlineStr">
        <x:is>
          <x:t xml:space="preserve">Blocker_Description</x:t>
        </x:is>
      </x:c>
      <x:c r="F109" s="2" t="inlineStr">
        <x:is>
          <x:t xml:space="preserve">Function exists but Cloud Scheduler API not enabled; never runs in production.</x:t>
        </x:is>
      </x:c>
      <x:c r="G109" s="2" t="inlineStr">
        <x:is>
          <x:t xml:space="preserve">Scheduler code exists, but Cloud Scheduler disabled → not proven executing end-to-end.</x:t>
        </x:is>
      </x:c>
      <x:c r="H109" s="2" t="inlineStr">
        <x:is>
          <x:t xml:space="preserve">Rebased to PDF brutal-evidence rules for this run.</x:t>
        </x:is>
      </x:c>
      <x:c r="I109" s="2" t="inlineStr">
        <x:is>
          <x:t xml:space="preserve">PDF SECTION 5 item 4 + SECTION 12 blocker 4</x:t>
        </x:is>
      </x:c>
    </x:row>
    <x:row r="110">
      <x:c r="A110" s="2" t="inlineStr">
        <x:is>
          <x:t xml:space="preserve">C-000109</x:t>
        </x:is>
      </x:c>
      <x:c r="B110" s="8" t="n">
        <x:v>46030.15761975694</x:v>
      </x:c>
      <x:c r="C110" s="2" t="inlineStr">
        <x:is>
          <x:t xml:space="preserve">FULL_STACK_FEATURE_MATRIX</x:t>
        </x:is>
      </x:c>
      <x:c r="D110" s="2" t="inlineStr">
        <x:is>
          <x:t xml:space="preserve">F-016</x:t>
        </x:is>
      </x:c>
      <x:c r="E110" s="2" t="inlineStr">
        <x:is>
          <x:t xml:space="preserve">Execution_Order</x:t>
        </x:is>
      </x:c>
      <x:c r="F110" s="2" t="inlineStr">
        <x:is>
          <x:t xml:space="preserve">16</x:t>
        </x:is>
      </x:c>
      <x:c r="G110" s="2" t="inlineStr">
        <x:is>
          <x:t xml:space="preserve">12</x:t>
        </x:is>
      </x:c>
      <x:c r="H110" s="2" t="inlineStr">
        <x:is>
          <x:t xml:space="preserve">Rebased to PDF brutal-evidence rules for this run.</x:t>
        </x:is>
      </x:c>
      <x:c r="I110" s="2" t="inlineStr">
        <x:is>
          <x:t xml:space="preserve">PDF SECTION 5 item 4 + SECTION 12 blocker 4</x:t>
        </x:is>
      </x:c>
    </x:row>
    <x:row r="111">
      <x:c r="A111" s="2" t="inlineStr">
        <x:is>
          <x:t xml:space="preserve">C-000110</x:t>
        </x:is>
      </x:c>
      <x:c r="B111" s="8" t="n">
        <x:v>46030.15761975694</x:v>
      </x:c>
      <x:c r="C111" s="2" t="inlineStr">
        <x:is>
          <x:t xml:space="preserve">FULL_STACK_FEATURE_MATRIX</x:t>
        </x:is>
      </x:c>
      <x:c r="D111" s="2" t="inlineStr">
        <x:is>
          <x:t xml:space="preserve">F-016</x:t>
        </x:is>
      </x:c>
      <x:c r="E111" s="2" t="inlineStr">
        <x:is>
          <x:t xml:space="preserve">Last_Updated_At</x:t>
        </x:is>
      </x:c>
      <x:c r="F111" s="2" t="inlineStr">
        <x:is>
          <x:t xml:space="preserve"/>
        </x:is>
      </x:c>
      <x:c r="G111" s="2" t="inlineStr">
        <x:is>
          <x:t xml:space="preserve">2026-01-08 03:46:58</x:t>
        </x:is>
      </x:c>
      <x:c r="H111" s="2" t="inlineStr">
        <x:is>
          <x:t xml:space="preserve">Timestamp tracking added.</x:t>
        </x:is>
      </x:c>
      <x:c r="I111" s="2" t="inlineStr">
        <x:is>
          <x:t xml:space="preserve">PDF SECTION 5 item 4 + SECTION 12 blocker 4</x:t>
        </x:is>
      </x:c>
    </x:row>
    <x:row r="112">
      <x:c r="A112" s="2" t="inlineStr">
        <x:is>
          <x:t xml:space="preserve">C-000111</x:t>
        </x:is>
      </x:c>
      <x:c r="B112" s="8" t="n">
        <x:v>46030.15761975694</x:v>
      </x:c>
      <x:c r="C112" s="2" t="inlineStr">
        <x:is>
          <x:t xml:space="preserve">FULL_STACK_FEATURE_MATRIX</x:t>
        </x:is>
      </x:c>
      <x:c r="D112" s="2" t="inlineStr">
        <x:is>
          <x:t xml:space="preserve">F-016</x:t>
        </x:is>
      </x:c>
      <x:c r="E112" s="2" t="inlineStr">
        <x:is>
          <x:t xml:space="preserve">Last_Updated_By</x:t>
        </x:is>
      </x:c>
      <x:c r="F112" s="2" t="inlineStr">
        <x:is>
          <x:t xml:space="preserve"/>
        </x:is>
      </x:c>
      <x:c r="G112" s="2" t="inlineStr">
        <x:is>
          <x:t xml:space="preserve">ChatGPT</x:t>
        </x:is>
      </x:c>
      <x:c r="H112" s="2" t="inlineStr">
        <x:is>
          <x:t xml:space="preserve">Timestamp tracking added.</x:t>
        </x:is>
      </x:c>
      <x:c r="I112" s="2" t="inlineStr">
        <x:is>
          <x:t xml:space="preserve">PDF SECTION 5 item 4 + SECTION 12 blocker 4</x:t>
        </x:is>
      </x:c>
    </x:row>
    <x:row r="113">
      <x:c r="A113" s="2" t="inlineStr">
        <x:is>
          <x:t xml:space="preserve">C-000112</x:t>
        </x:is>
      </x:c>
      <x:c r="B113" s="8" t="n">
        <x:v>46030.15761975694</x:v>
      </x:c>
      <x:c r="C113" s="2" t="inlineStr">
        <x:is>
          <x:t xml:space="preserve">FULL_STACK_FEATURE_MATRIX</x:t>
        </x:is>
      </x:c>
      <x:c r="D113" s="2" t="inlineStr">
        <x:is>
          <x:t xml:space="preserve">F-016</x:t>
        </x:is>
      </x:c>
      <x:c r="E113" s="2" t="inlineStr">
        <x:is>
          <x:t xml:space="preserve">Evidence_Ref</x:t>
        </x:is>
      </x:c>
      <x:c r="F113" s="2" t="inlineStr">
        <x:is>
          <x:t xml:space="preserve"/>
        </x:is>
      </x:c>
      <x:c r="G113" s="2" t="inlineStr">
        <x:is>
          <x:t xml:space="preserve">PDF SECTION 5 item 4 + SECTION 12 blocker 4</x:t>
        </x:is>
      </x:c>
      <x:c r="H113" s="2" t="inlineStr">
        <x:is>
          <x:t xml:space="preserve">Evidence tracking added.</x:t>
        </x:is>
      </x:c>
      <x:c r="I113" s="2" t="inlineStr">
        <x:is>
          <x:t xml:space="preserve">PDF SECTION 5 item 4 + SECTION 12 blocker 4</x:t>
        </x:is>
      </x:c>
    </x:row>
    <x:row r="114">
      <x:c r="A114" s="2" t="inlineStr">
        <x:is>
          <x:t xml:space="preserve">C-000113</x:t>
        </x:is>
      </x:c>
      <x:c r="B114" s="8" t="n">
        <x:v>46030.15761975694</x:v>
      </x:c>
      <x:c r="C114" s="2" t="inlineStr">
        <x:is>
          <x:t xml:space="preserve">FULL_STACK_FEATURE_MATRIX</x:t>
        </x:is>
      </x:c>
      <x:c r="D114" s="2" t="inlineStr">
        <x:is>
          <x:t xml:space="preserve">F-017</x:t>
        </x:is>
      </x:c>
      <x:c r="E114" s="2" t="inlineStr">
        <x:is>
          <x:t xml:space="preserve">Blocker_Description</x:t>
        </x:is>
      </x:c>
      <x:c r="F114" s="2" t="inlineStr">
        <x:is>
          <x:t xml:space="preserve">Fully functional; build passes; 16/16 gate passed.</x:t>
        </x:is>
      </x:c>
      <x:c r="G114" s="2" t="inlineStr">
        <x:is>
          <x:t xml:space="preserve"/>
        </x:is>
      </x:c>
      <x:c r="H114" s="2" t="inlineStr">
        <x:is>
          <x:t xml:space="preserve">Rebased to PDF brutal-evidence rules for this run.</x:t>
        </x:is>
      </x:c>
      <x:c r="I114" s="2" t="inlineStr">
        <x:is>
          <x:t xml:space="preserve">PDF SECTION 7 'WEB ADMIN REALITY' + Web Admin Mutation Gate 16/16 PASSED</x:t>
        </x:is>
      </x:c>
    </x:row>
    <x:row r="115">
      <x:c r="A115" s="2" t="inlineStr">
        <x:is>
          <x:t xml:space="preserve">C-000114</x:t>
        </x:is>
      </x:c>
      <x:c r="B115" s="8" t="n">
        <x:v>46030.15761975694</x:v>
      </x:c>
      <x:c r="C115" s="2" t="inlineStr">
        <x:is>
          <x:t xml:space="preserve">FULL_STACK_FEATURE_MATRIX</x:t>
        </x:is>
      </x:c>
      <x:c r="D115" s="2" t="inlineStr">
        <x:is>
          <x:t xml:space="preserve">F-017</x:t>
        </x:is>
      </x:c>
      <x:c r="E115" s="2" t="inlineStr">
        <x:is>
          <x:t xml:space="preserve">Priority</x:t>
        </x:is>
      </x:c>
      <x:c r="F115" s="2" t="inlineStr">
        <x:is>
          <x:t xml:space="preserve">P0</x:t>
        </x:is>
      </x:c>
      <x:c r="G115" s="2" t="inlineStr">
        <x:is>
          <x:t xml:space="preserve">P2</x:t>
        </x:is>
      </x:c>
      <x:c r="H115" s="2" t="inlineStr">
        <x:is>
          <x:t xml:space="preserve">Rebased to PDF brutal-evidence rules for this run.</x:t>
        </x:is>
      </x:c>
      <x:c r="I115" s="2" t="inlineStr">
        <x:is>
          <x:t xml:space="preserve">PDF SECTION 7 'WEB ADMIN REALITY' + Web Admin Mutation Gate 16/16 PASSED</x:t>
        </x:is>
      </x:c>
    </x:row>
    <x:row r="116">
      <x:c r="A116" s="2" t="inlineStr">
        <x:is>
          <x:t xml:space="preserve">C-000115</x:t>
        </x:is>
      </x:c>
      <x:c r="B116" s="8" t="n">
        <x:v>46030.15761975694</x:v>
      </x:c>
      <x:c r="C116" s="2" t="inlineStr">
        <x:is>
          <x:t xml:space="preserve">FULL_STACK_FEATURE_MATRIX</x:t>
        </x:is>
      </x:c>
      <x:c r="D116" s="2" t="inlineStr">
        <x:is>
          <x:t xml:space="preserve">F-017</x:t>
        </x:is>
      </x:c>
      <x:c r="E116" s="2" t="inlineStr">
        <x:is>
          <x:t xml:space="preserve">Execution_Order</x:t>
        </x:is>
      </x:c>
      <x:c r="F116" s="2" t="inlineStr">
        <x:is>
          <x:t xml:space="preserve">17</x:t>
        </x:is>
      </x:c>
      <x:c r="G116" s="2" t="inlineStr">
        <x:is>
          <x:t xml:space="preserve">29</x:t>
        </x:is>
      </x:c>
      <x:c r="H116" s="2" t="inlineStr">
        <x:is>
          <x:t xml:space="preserve">Rebased to PDF brutal-evidence rules for this run.</x:t>
        </x:is>
      </x:c>
      <x:c r="I116" s="2" t="inlineStr">
        <x:is>
          <x:t xml:space="preserve">PDF SECTION 7 'WEB ADMIN REALITY' + Web Admin Mutation Gate 16/16 PASSED</x:t>
        </x:is>
      </x:c>
    </x:row>
    <x:row r="117">
      <x:c r="A117" s="2" t="inlineStr">
        <x:is>
          <x:t xml:space="preserve">C-000116</x:t>
        </x:is>
      </x:c>
      <x:c r="B117" s="8" t="n">
        <x:v>46030.15761975694</x:v>
      </x:c>
      <x:c r="C117" s="2" t="inlineStr">
        <x:is>
          <x:t xml:space="preserve">FULL_STACK_FEATURE_MATRIX</x:t>
        </x:is>
      </x:c>
      <x:c r="D117" s="2" t="inlineStr">
        <x:is>
          <x:t xml:space="preserve">F-017</x:t>
        </x:is>
      </x:c>
      <x:c r="E117" s="2" t="inlineStr">
        <x:is>
          <x:t xml:space="preserve">Last_Updated_At</x:t>
        </x:is>
      </x:c>
      <x:c r="F117" s="2" t="inlineStr">
        <x:is>
          <x:t xml:space="preserve"/>
        </x:is>
      </x:c>
      <x:c r="G117" s="2" t="inlineStr">
        <x:is>
          <x:t xml:space="preserve">2026-01-08 03:46:58</x:t>
        </x:is>
      </x:c>
      <x:c r="H117" s="2" t="inlineStr">
        <x:is>
          <x:t xml:space="preserve">Timestamp tracking added.</x:t>
        </x:is>
      </x:c>
      <x:c r="I117" s="2" t="inlineStr">
        <x:is>
          <x:t xml:space="preserve">PDF SECTION 7 'WEB ADMIN REALITY' + Web Admin Mutation Gate 16/16 PASSED</x:t>
        </x:is>
      </x:c>
    </x:row>
    <x:row r="118">
      <x:c r="A118" s="2" t="inlineStr">
        <x:is>
          <x:t xml:space="preserve">C-000117</x:t>
        </x:is>
      </x:c>
      <x:c r="B118" s="8" t="n">
        <x:v>46030.15761975694</x:v>
      </x:c>
      <x:c r="C118" s="2" t="inlineStr">
        <x:is>
          <x:t xml:space="preserve">FULL_STACK_FEATURE_MATRIX</x:t>
        </x:is>
      </x:c>
      <x:c r="D118" s="2" t="inlineStr">
        <x:is>
          <x:t xml:space="preserve">F-017</x:t>
        </x:is>
      </x:c>
      <x:c r="E118" s="2" t="inlineStr">
        <x:is>
          <x:t xml:space="preserve">Last_Updated_By</x:t>
        </x:is>
      </x:c>
      <x:c r="F118" s="2" t="inlineStr">
        <x:is>
          <x:t xml:space="preserve"/>
        </x:is>
      </x:c>
      <x:c r="G118" s="2" t="inlineStr">
        <x:is>
          <x:t xml:space="preserve">ChatGPT</x:t>
        </x:is>
      </x:c>
      <x:c r="H118" s="2" t="inlineStr">
        <x:is>
          <x:t xml:space="preserve">Timestamp tracking added.</x:t>
        </x:is>
      </x:c>
      <x:c r="I118" s="2" t="inlineStr">
        <x:is>
          <x:t xml:space="preserve">PDF SECTION 7 'WEB ADMIN REALITY' + Web Admin Mutation Gate 16/16 PASSED</x:t>
        </x:is>
      </x:c>
    </x:row>
    <x:row r="119">
      <x:c r="A119" s="2" t="inlineStr">
        <x:is>
          <x:t xml:space="preserve">C-000118</x:t>
        </x:is>
      </x:c>
      <x:c r="B119" s="8" t="n">
        <x:v>46030.15761975694</x:v>
      </x:c>
      <x:c r="C119" s="2" t="inlineStr">
        <x:is>
          <x:t xml:space="preserve">FULL_STACK_FEATURE_MATRIX</x:t>
        </x:is>
      </x:c>
      <x:c r="D119" s="2" t="inlineStr">
        <x:is>
          <x:t xml:space="preserve">F-017</x:t>
        </x:is>
      </x:c>
      <x:c r="E119" s="2" t="inlineStr">
        <x:is>
          <x:t xml:space="preserve">Evidence_Ref</x:t>
        </x:is>
      </x:c>
      <x:c r="F119" s="2" t="inlineStr">
        <x:is>
          <x:t xml:space="preserve"/>
        </x:is>
      </x:c>
      <x:c r="G119" s="2" t="inlineStr">
        <x:is>
          <x:t xml:space="preserve">PDF SECTION 7 'WEB ADMIN REALITY' + Web Admin Mutation Gate 16/16 PASSED</x:t>
        </x:is>
      </x:c>
      <x:c r="H119" s="2" t="inlineStr">
        <x:is>
          <x:t xml:space="preserve">Evidence tracking added.</x:t>
        </x:is>
      </x:c>
      <x:c r="I119" s="2" t="inlineStr">
        <x:is>
          <x:t xml:space="preserve">PDF SECTION 7 'WEB ADMIN REALITY' + Web Admin Mutation Gate 16/16 PASSED</x:t>
        </x:is>
      </x:c>
    </x:row>
    <x:row r="120">
      <x:c r="A120" s="2" t="inlineStr">
        <x:is>
          <x:t xml:space="preserve">C-000119</x:t>
        </x:is>
      </x:c>
      <x:c r="B120" s="8" t="n">
        <x:v>46030.15761975694</x:v>
      </x:c>
      <x:c r="C120" s="2" t="inlineStr">
        <x:is>
          <x:t xml:space="preserve">FULL_STACK_FEATURE_MATRIX</x:t>
        </x:is>
      </x:c>
      <x:c r="D120" s="2" t="inlineStr">
        <x:is>
          <x:t xml:space="preserve">F-018</x:t>
        </x:is>
      </x:c>
      <x:c r="E120" s="2" t="inlineStr">
        <x:is>
          <x:t xml:space="preserve">Blocker_Description</x:t>
        </x:is>
      </x:c>
      <x:c r="F120" s="2" t="inlineStr">
        <x:is>
          <x:t xml:space="preserve">Enforced on /admin/*.</x:t>
        </x:is>
      </x:c>
      <x:c r="G120" s="2" t="inlineStr">
        <x:is>
          <x:t xml:space="preserve"/>
        </x:is>
      </x:c>
      <x:c r="H120" s="2" t="inlineStr">
        <x:is>
          <x:t xml:space="preserve">Rebased to PDF brutal-evidence rules for this run.</x:t>
        </x:is>
      </x:c>
      <x:c r="I120" s="2" t="inlineStr">
        <x:is>
          <x:t xml:space="preserve">PDF SECTION 7 'Admin Guard' enforced</x:t>
        </x:is>
      </x:c>
    </x:row>
    <x:row r="121">
      <x:c r="A121" s="2" t="inlineStr">
        <x:is>
          <x:t xml:space="preserve">C-000120</x:t>
        </x:is>
      </x:c>
      <x:c r="B121" s="8" t="n">
        <x:v>46030.15761975694</x:v>
      </x:c>
      <x:c r="C121" s="2" t="inlineStr">
        <x:is>
          <x:t xml:space="preserve">FULL_STACK_FEATURE_MATRIX</x:t>
        </x:is>
      </x:c>
      <x:c r="D121" s="2" t="inlineStr">
        <x:is>
          <x:t xml:space="preserve">F-018</x:t>
        </x:is>
      </x:c>
      <x:c r="E121" s="2" t="inlineStr">
        <x:is>
          <x:t xml:space="preserve">Priority</x:t>
        </x:is>
      </x:c>
      <x:c r="F121" s="2" t="inlineStr">
        <x:is>
          <x:t xml:space="preserve">P1</x:t>
        </x:is>
      </x:c>
      <x:c r="G121" s="2" t="inlineStr">
        <x:is>
          <x:t xml:space="preserve">P2</x:t>
        </x:is>
      </x:c>
      <x:c r="H121" s="2" t="inlineStr">
        <x:is>
          <x:t xml:space="preserve">Rebased to PDF brutal-evidence rules for this run.</x:t>
        </x:is>
      </x:c>
      <x:c r="I121" s="2" t="inlineStr">
        <x:is>
          <x:t xml:space="preserve">PDF SECTION 7 'Admin Guard' enforced</x:t>
        </x:is>
      </x:c>
    </x:row>
    <x:row r="122">
      <x:c r="A122" s="2" t="inlineStr">
        <x:is>
          <x:t xml:space="preserve">C-000121</x:t>
        </x:is>
      </x:c>
      <x:c r="B122" s="8" t="n">
        <x:v>46030.15761975694</x:v>
      </x:c>
      <x:c r="C122" s="2" t="inlineStr">
        <x:is>
          <x:t xml:space="preserve">FULL_STACK_FEATURE_MATRIX</x:t>
        </x:is>
      </x:c>
      <x:c r="D122" s="2" t="inlineStr">
        <x:is>
          <x:t xml:space="preserve">F-018</x:t>
        </x:is>
      </x:c>
      <x:c r="E122" s="2" t="inlineStr">
        <x:is>
          <x:t xml:space="preserve">Execution_Order</x:t>
        </x:is>
      </x:c>
      <x:c r="F122" s="2" t="inlineStr">
        <x:is>
          <x:t xml:space="preserve">18</x:t>
        </x:is>
      </x:c>
      <x:c r="G122" s="2" t="inlineStr">
        <x:is>
          <x:t xml:space="preserve">30</x:t>
        </x:is>
      </x:c>
      <x:c r="H122" s="2" t="inlineStr">
        <x:is>
          <x:t xml:space="preserve">Rebased to PDF brutal-evidence rules for this run.</x:t>
        </x:is>
      </x:c>
      <x:c r="I122" s="2" t="inlineStr">
        <x:is>
          <x:t xml:space="preserve">PDF SECTION 7 'Admin Guard' enforced</x:t>
        </x:is>
      </x:c>
    </x:row>
    <x:row r="123">
      <x:c r="A123" s="2" t="inlineStr">
        <x:is>
          <x:t xml:space="preserve">C-000122</x:t>
        </x:is>
      </x:c>
      <x:c r="B123" s="8" t="n">
        <x:v>46030.15761975694</x:v>
      </x:c>
      <x:c r="C123" s="2" t="inlineStr">
        <x:is>
          <x:t xml:space="preserve">FULL_STACK_FEATURE_MATRIX</x:t>
        </x:is>
      </x:c>
      <x:c r="D123" s="2" t="inlineStr">
        <x:is>
          <x:t xml:space="preserve">F-018</x:t>
        </x:is>
      </x:c>
      <x:c r="E123" s="2" t="inlineStr">
        <x:is>
          <x:t xml:space="preserve">Last_Updated_At</x:t>
        </x:is>
      </x:c>
      <x:c r="F123" s="2" t="inlineStr">
        <x:is>
          <x:t xml:space="preserve"/>
        </x:is>
      </x:c>
      <x:c r="G123" s="2" t="inlineStr">
        <x:is>
          <x:t xml:space="preserve">2026-01-08 03:46:58</x:t>
        </x:is>
      </x:c>
      <x:c r="H123" s="2" t="inlineStr">
        <x:is>
          <x:t xml:space="preserve">Timestamp tracking added.</x:t>
        </x:is>
      </x:c>
      <x:c r="I123" s="2" t="inlineStr">
        <x:is>
          <x:t xml:space="preserve">PDF SECTION 7 'Admin Guard' enforced</x:t>
        </x:is>
      </x:c>
    </x:row>
    <x:row r="124">
      <x:c r="A124" s="2" t="inlineStr">
        <x:is>
          <x:t xml:space="preserve">C-000123</x:t>
        </x:is>
      </x:c>
      <x:c r="B124" s="8" t="n">
        <x:v>46030.15761975694</x:v>
      </x:c>
      <x:c r="C124" s="2" t="inlineStr">
        <x:is>
          <x:t xml:space="preserve">FULL_STACK_FEATURE_MATRIX</x:t>
        </x:is>
      </x:c>
      <x:c r="D124" s="2" t="inlineStr">
        <x:is>
          <x:t xml:space="preserve">F-018</x:t>
        </x:is>
      </x:c>
      <x:c r="E124" s="2" t="inlineStr">
        <x:is>
          <x:t xml:space="preserve">Last_Updated_By</x:t>
        </x:is>
      </x:c>
      <x:c r="F124" s="2" t="inlineStr">
        <x:is>
          <x:t xml:space="preserve"/>
        </x:is>
      </x:c>
      <x:c r="G124" s="2" t="inlineStr">
        <x:is>
          <x:t xml:space="preserve">ChatGPT</x:t>
        </x:is>
      </x:c>
      <x:c r="H124" s="2" t="inlineStr">
        <x:is>
          <x:t xml:space="preserve">Timestamp tracking added.</x:t>
        </x:is>
      </x:c>
      <x:c r="I124" s="2" t="inlineStr">
        <x:is>
          <x:t xml:space="preserve">PDF SECTION 7 'Admin Guard' enforced</x:t>
        </x:is>
      </x:c>
    </x:row>
    <x:row r="125">
      <x:c r="A125" s="2" t="inlineStr">
        <x:is>
          <x:t xml:space="preserve">C-000124</x:t>
        </x:is>
      </x:c>
      <x:c r="B125" s="8" t="n">
        <x:v>46030.15761975694</x:v>
      </x:c>
      <x:c r="C125" s="2" t="inlineStr">
        <x:is>
          <x:t xml:space="preserve">FULL_STACK_FEATURE_MATRIX</x:t>
        </x:is>
      </x:c>
      <x:c r="D125" s="2" t="inlineStr">
        <x:is>
          <x:t xml:space="preserve">F-018</x:t>
        </x:is>
      </x:c>
      <x:c r="E125" s="2" t="inlineStr">
        <x:is>
          <x:t xml:space="preserve">Evidence_Ref</x:t>
        </x:is>
      </x:c>
      <x:c r="F125" s="2" t="inlineStr">
        <x:is>
          <x:t xml:space="preserve"/>
        </x:is>
      </x:c>
      <x:c r="G125" s="2" t="inlineStr">
        <x:is>
          <x:t xml:space="preserve">PDF SECTION 7 'Admin Guard' enforced</x:t>
        </x:is>
      </x:c>
      <x:c r="H125" s="2" t="inlineStr">
        <x:is>
          <x:t xml:space="preserve">Evidence tracking added.</x:t>
        </x:is>
      </x:c>
      <x:c r="I125" s="2" t="inlineStr">
        <x:is>
          <x:t xml:space="preserve">PDF SECTION 7 'Admin Guard' enforced</x:t>
        </x:is>
      </x:c>
    </x:row>
    <x:row r="126">
      <x:c r="A126" s="2" t="inlineStr">
        <x:is>
          <x:t xml:space="preserve">C-000125</x:t>
        </x:is>
      </x:c>
      <x:c r="B126" s="8" t="n">
        <x:v>46030.15761975694</x:v>
      </x:c>
      <x:c r="C126" s="2" t="inlineStr">
        <x:is>
          <x:t xml:space="preserve">FULL_STACK_FEATURE_MATRIX</x:t>
        </x:is>
      </x:c>
      <x:c r="D126" s="2" t="inlineStr">
        <x:is>
          <x:t xml:space="preserve">F-019</x:t>
        </x:is>
      </x:c>
      <x:c r="E126" s="2" t="inlineStr">
        <x:is>
          <x:t xml:space="preserve">Blocker_Type</x:t>
        </x:is>
      </x:c>
      <x:c r="F126" s="2" t="inlineStr">
        <x:is>
          <x:t xml:space="preserve">Business</x:t>
        </x:is>
      </x:c>
      <x:c r="G126" s="2" t="inlineStr">
        <x:is>
          <x:t xml:space="preserve">Tech</x:t>
        </x:is>
      </x:c>
      <x:c r="H126" s="2" t="inlineStr">
        <x:is>
          <x:t xml:space="preserve">Rebased to PDF brutal-evidence rules for this run.</x:t>
        </x:is>
      </x:c>
      <x:c r="I126" s="2" t="inlineStr">
        <x:is>
          <x:t xml:space="preserve">PDF does not provide runtime/evidence for admin redemptions history screen</x:t>
        </x:is>
      </x:c>
    </x:row>
    <x:row r="127">
      <x:c r="A127" s="2" t="inlineStr">
        <x:is>
          <x:t xml:space="preserve">C-000126</x:t>
        </x:is>
      </x:c>
      <x:c r="B127" s="8" t="n">
        <x:v>46030.15761975694</x:v>
      </x:c>
      <x:c r="C127" s="2" t="inlineStr">
        <x:is>
          <x:t xml:space="preserve">FULL_STACK_FEATURE_MATRIX</x:t>
        </x:is>
      </x:c>
      <x:c r="D127" s="2" t="inlineStr">
        <x:is>
          <x:t xml:space="preserve">F-019</x:t>
        </x:is>
      </x:c>
      <x:c r="E127" s="2" t="inlineStr">
        <x:is>
          <x:t xml:space="preserve">Blocker_Description</x:t>
        </x:is>
      </x:c>
      <x:c r="F127" s="2" t="inlineStr">
        <x:is>
          <x:t xml:space="preserve">No screen created for redemptions history.</x:t>
        </x:is>
      </x:c>
      <x:c r="G127" s="2" t="inlineStr">
        <x:is>
          <x:t xml:space="preserve">No evidence in PDF of working UI/queries or backend support for this feature.</x:t>
        </x:is>
      </x:c>
      <x:c r="H127" s="2" t="inlineStr">
        <x:is>
          <x:t xml:space="preserve">Rebased to PDF brutal-evidence rules for this run.</x:t>
        </x:is>
      </x:c>
      <x:c r="I127" s="2" t="inlineStr">
        <x:is>
          <x:t xml:space="preserve">PDF does not provide runtime/evidence for admin redemptions history screen</x:t>
        </x:is>
      </x:c>
    </x:row>
    <x:row r="128">
      <x:c r="A128" s="2" t="inlineStr">
        <x:is>
          <x:t xml:space="preserve">C-000127</x:t>
        </x:is>
      </x:c>
      <x:c r="B128" s="8" t="n">
        <x:v>46030.15761975694</x:v>
      </x:c>
      <x:c r="C128" s="2" t="inlineStr">
        <x:is>
          <x:t xml:space="preserve">FULL_STACK_FEATURE_MATRIX</x:t>
        </x:is>
      </x:c>
      <x:c r="D128" s="2" t="inlineStr">
        <x:is>
          <x:t xml:space="preserve">F-019</x:t>
        </x:is>
      </x:c>
      <x:c r="E128" s="2" t="inlineStr">
        <x:is>
          <x:t xml:space="preserve">Execution_Order</x:t>
        </x:is>
      </x:c>
      <x:c r="F128" s="2" t="inlineStr">
        <x:is>
          <x:t xml:space="preserve">19</x:t>
        </x:is>
      </x:c>
      <x:c r="G128" s="2" t="inlineStr">
        <x:is>
          <x:t xml:space="preserve">31</x:t>
        </x:is>
      </x:c>
      <x:c r="H128" s="2" t="inlineStr">
        <x:is>
          <x:t xml:space="preserve">Rebased to PDF brutal-evidence rules for this run.</x:t>
        </x:is>
      </x:c>
      <x:c r="I128" s="2" t="inlineStr">
        <x:is>
          <x:t xml:space="preserve">PDF does not provide runtime/evidence for admin redemptions history screen</x:t>
        </x:is>
      </x:c>
    </x:row>
    <x:row r="129">
      <x:c r="A129" s="2" t="inlineStr">
        <x:is>
          <x:t xml:space="preserve">C-000128</x:t>
        </x:is>
      </x:c>
      <x:c r="B129" s="8" t="n">
        <x:v>46030.15761975694</x:v>
      </x:c>
      <x:c r="C129" s="2" t="inlineStr">
        <x:is>
          <x:t xml:space="preserve">FULL_STACK_FEATURE_MATRIX</x:t>
        </x:is>
      </x:c>
      <x:c r="D129" s="2" t="inlineStr">
        <x:is>
          <x:t xml:space="preserve">F-019</x:t>
        </x:is>
      </x:c>
      <x:c r="E129" s="2" t="inlineStr">
        <x:is>
          <x:t xml:space="preserve">Last_Updated_At</x:t>
        </x:is>
      </x:c>
      <x:c r="F129" s="2" t="inlineStr">
        <x:is>
          <x:t xml:space="preserve"/>
        </x:is>
      </x:c>
      <x:c r="G129" s="2" t="inlineStr">
        <x:is>
          <x:t xml:space="preserve">2026-01-08 03:46:58</x:t>
        </x:is>
      </x:c>
      <x:c r="H129" s="2" t="inlineStr">
        <x:is>
          <x:t xml:space="preserve">Timestamp tracking added.</x:t>
        </x:is>
      </x:c>
      <x:c r="I129" s="2" t="inlineStr">
        <x:is>
          <x:t xml:space="preserve">PDF does not provide runtime/evidence for admin redemptions history screen</x:t>
        </x:is>
      </x:c>
    </x:row>
    <x:row r="130">
      <x:c r="A130" s="2" t="inlineStr">
        <x:is>
          <x:t xml:space="preserve">C-000129</x:t>
        </x:is>
      </x:c>
      <x:c r="B130" s="8" t="n">
        <x:v>46030.15761975694</x:v>
      </x:c>
      <x:c r="C130" s="2" t="inlineStr">
        <x:is>
          <x:t xml:space="preserve">FULL_STACK_FEATURE_MATRIX</x:t>
        </x:is>
      </x:c>
      <x:c r="D130" s="2" t="inlineStr">
        <x:is>
          <x:t xml:space="preserve">F-019</x:t>
        </x:is>
      </x:c>
      <x:c r="E130" s="2" t="inlineStr">
        <x:is>
          <x:t xml:space="preserve">Last_Updated_By</x:t>
        </x:is>
      </x:c>
      <x:c r="F130" s="2" t="inlineStr">
        <x:is>
          <x:t xml:space="preserve"/>
        </x:is>
      </x:c>
      <x:c r="G130" s="2" t="inlineStr">
        <x:is>
          <x:t xml:space="preserve">ChatGPT</x:t>
        </x:is>
      </x:c>
      <x:c r="H130" s="2" t="inlineStr">
        <x:is>
          <x:t xml:space="preserve">Timestamp tracking added.</x:t>
        </x:is>
      </x:c>
      <x:c r="I130" s="2" t="inlineStr">
        <x:is>
          <x:t xml:space="preserve">PDF does not provide runtime/evidence for admin redemptions history screen</x:t>
        </x:is>
      </x:c>
    </x:row>
    <x:row r="131">
      <x:c r="A131" s="2" t="inlineStr">
        <x:is>
          <x:t xml:space="preserve">C-000130</x:t>
        </x:is>
      </x:c>
      <x:c r="B131" s="8" t="n">
        <x:v>46030.15761975694</x:v>
      </x:c>
      <x:c r="C131" s="2" t="inlineStr">
        <x:is>
          <x:t xml:space="preserve">FULL_STACK_FEATURE_MATRIX</x:t>
        </x:is>
      </x:c>
      <x:c r="D131" s="2" t="inlineStr">
        <x:is>
          <x:t xml:space="preserve">F-019</x:t>
        </x:is>
      </x:c>
      <x:c r="E131" s="2" t="inlineStr">
        <x:is>
          <x:t xml:space="preserve">Evidence_Ref</x:t>
        </x:is>
      </x:c>
      <x:c r="F131" s="2" t="inlineStr">
        <x:is>
          <x:t xml:space="preserve"/>
        </x:is>
      </x:c>
      <x:c r="G131" s="2" t="inlineStr">
        <x:is>
          <x:t xml:space="preserve">PDF does not provide runtime/evidence for admin redemptions history screen</x:t>
        </x:is>
      </x:c>
      <x:c r="H131" s="2" t="inlineStr">
        <x:is>
          <x:t xml:space="preserve">Evidence tracking added.</x:t>
        </x:is>
      </x:c>
      <x:c r="I131" s="2" t="inlineStr">
        <x:is>
          <x:t xml:space="preserve">PDF does not provide runtime/evidence for admin redemptions history screen</x:t>
        </x:is>
      </x:c>
    </x:row>
    <x:row r="132">
      <x:c r="A132" s="2" t="inlineStr">
        <x:is>
          <x:t xml:space="preserve">C-000131</x:t>
        </x:is>
      </x:c>
      <x:c r="B132" s="8" t="n">
        <x:v>46030.15761975694</x:v>
      </x:c>
      <x:c r="C132" s="2" t="inlineStr">
        <x:is>
          <x:t xml:space="preserve">FULL_STACK_FEATURE_MATRIX</x:t>
        </x:is>
      </x:c>
      <x:c r="D132" s="2" t="inlineStr">
        <x:is>
          <x:t xml:space="preserve">F-020</x:t>
        </x:is>
      </x:c>
      <x:c r="E132" s="2" t="inlineStr">
        <x:is>
          <x:t xml:space="preserve">Blocker_Type</x:t>
        </x:is>
      </x:c>
      <x:c r="F132" s="2" t="inlineStr">
        <x:is>
          <x:t xml:space="preserve">Business</x:t>
        </x:is>
      </x:c>
      <x:c r="G132" s="2" t="inlineStr">
        <x:is>
          <x:t xml:space="preserve">Tech</x:t>
        </x:is>
      </x:c>
      <x:c r="H132" s="2" t="inlineStr">
        <x:is>
          <x:t xml:space="preserve">Rebased to PDF brutal-evidence rules for this run.</x:t>
        </x:is>
      </x:c>
      <x:c r="I132" s="2" t="inlineStr">
        <x:is>
          <x:t xml:space="preserve">PDF does not provide evidence for points adjust/refund feature</x:t>
        </x:is>
      </x:c>
    </x:row>
    <x:row r="133">
      <x:c r="A133" s="2" t="inlineStr">
        <x:is>
          <x:t xml:space="preserve">C-000132</x:t>
        </x:is>
      </x:c>
      <x:c r="B133" s="8" t="n">
        <x:v>46030.15761975694</x:v>
      </x:c>
      <x:c r="C133" s="2" t="inlineStr">
        <x:is>
          <x:t xml:space="preserve">FULL_STACK_FEATURE_MATRIX</x:t>
        </x:is>
      </x:c>
      <x:c r="D133" s="2" t="inlineStr">
        <x:is>
          <x:t xml:space="preserve">F-020</x:t>
        </x:is>
      </x:c>
      <x:c r="E133" s="2" t="inlineStr">
        <x:is>
          <x:t xml:space="preserve">Blocker_Description</x:t>
        </x:is>
      </x:c>
      <x:c r="F133" s="2" t="inlineStr">
        <x:is>
          <x:t xml:space="preserve">Not implemented per report.</x:t>
        </x:is>
      </x:c>
      <x:c r="G133" s="2" t="inlineStr">
        <x:is>
          <x:t xml:space="preserve">No evidence in PDF of working UI/queries or backend support for this feature.</x:t>
        </x:is>
      </x:c>
      <x:c r="H133" s="2" t="inlineStr">
        <x:is>
          <x:t xml:space="preserve">Rebased to PDF brutal-evidence rules for this run.</x:t>
        </x:is>
      </x:c>
      <x:c r="I133" s="2" t="inlineStr">
        <x:is>
          <x:t xml:space="preserve">PDF does not provide evidence for points adjust/refund feature</x:t>
        </x:is>
      </x:c>
    </x:row>
    <x:row r="134">
      <x:c r="A134" s="2" t="inlineStr">
        <x:is>
          <x:t xml:space="preserve">C-000133</x:t>
        </x:is>
      </x:c>
      <x:c r="B134" s="8" t="n">
        <x:v>46030.15761975694</x:v>
      </x:c>
      <x:c r="C134" s="2" t="inlineStr">
        <x:is>
          <x:t xml:space="preserve">FULL_STACK_FEATURE_MATRIX</x:t>
        </x:is>
      </x:c>
      <x:c r="D134" s="2" t="inlineStr">
        <x:is>
          <x:t xml:space="preserve">F-020</x:t>
        </x:is>
      </x:c>
      <x:c r="E134" s="2" t="inlineStr">
        <x:is>
          <x:t xml:space="preserve">Execution_Order</x:t>
        </x:is>
      </x:c>
      <x:c r="F134" s="2" t="inlineStr">
        <x:is>
          <x:t xml:space="preserve">20</x:t>
        </x:is>
      </x:c>
      <x:c r="G134" s="2" t="inlineStr">
        <x:is>
          <x:t xml:space="preserve">32</x:t>
        </x:is>
      </x:c>
      <x:c r="H134" s="2" t="inlineStr">
        <x:is>
          <x:t xml:space="preserve">Rebased to PDF brutal-evidence rules for this run.</x:t>
        </x:is>
      </x:c>
      <x:c r="I134" s="2" t="inlineStr">
        <x:is>
          <x:t xml:space="preserve">PDF does not provide evidence for points adjust/refund feature</x:t>
        </x:is>
      </x:c>
    </x:row>
    <x:row r="135">
      <x:c r="A135" s="2" t="inlineStr">
        <x:is>
          <x:t xml:space="preserve">C-000134</x:t>
        </x:is>
      </x:c>
      <x:c r="B135" s="8" t="n">
        <x:v>46030.15761975694</x:v>
      </x:c>
      <x:c r="C135" s="2" t="inlineStr">
        <x:is>
          <x:t xml:space="preserve">FULL_STACK_FEATURE_MATRIX</x:t>
        </x:is>
      </x:c>
      <x:c r="D135" s="2" t="inlineStr">
        <x:is>
          <x:t xml:space="preserve">F-020</x:t>
        </x:is>
      </x:c>
      <x:c r="E135" s="2" t="inlineStr">
        <x:is>
          <x:t xml:space="preserve">Last_Updated_At</x:t>
        </x:is>
      </x:c>
      <x:c r="F135" s="2" t="inlineStr">
        <x:is>
          <x:t xml:space="preserve"/>
        </x:is>
      </x:c>
      <x:c r="G135" s="2" t="inlineStr">
        <x:is>
          <x:t xml:space="preserve">2026-01-08 03:46:58</x:t>
        </x:is>
      </x:c>
      <x:c r="H135" s="2" t="inlineStr">
        <x:is>
          <x:t xml:space="preserve">Timestamp tracking added.</x:t>
        </x:is>
      </x:c>
      <x:c r="I135" s="2" t="inlineStr">
        <x:is>
          <x:t xml:space="preserve">PDF does not provide evidence for points adjust/refund feature</x:t>
        </x:is>
      </x:c>
    </x:row>
    <x:row r="136">
      <x:c r="A136" s="2" t="inlineStr">
        <x:is>
          <x:t xml:space="preserve">C-000135</x:t>
        </x:is>
      </x:c>
      <x:c r="B136" s="8" t="n">
        <x:v>46030.15761975694</x:v>
      </x:c>
      <x:c r="C136" s="2" t="inlineStr">
        <x:is>
          <x:t xml:space="preserve">FULL_STACK_FEATURE_MATRIX</x:t>
        </x:is>
      </x:c>
      <x:c r="D136" s="2" t="inlineStr">
        <x:is>
          <x:t xml:space="preserve">F-020</x:t>
        </x:is>
      </x:c>
      <x:c r="E136" s="2" t="inlineStr">
        <x:is>
          <x:t xml:space="preserve">Last_Updated_By</x:t>
        </x:is>
      </x:c>
      <x:c r="F136" s="2" t="inlineStr">
        <x:is>
          <x:t xml:space="preserve"/>
        </x:is>
      </x:c>
      <x:c r="G136" s="2" t="inlineStr">
        <x:is>
          <x:t xml:space="preserve">ChatGPT</x:t>
        </x:is>
      </x:c>
      <x:c r="H136" s="2" t="inlineStr">
        <x:is>
          <x:t xml:space="preserve">Timestamp tracking added.</x:t>
        </x:is>
      </x:c>
      <x:c r="I136" s="2" t="inlineStr">
        <x:is>
          <x:t xml:space="preserve">PDF does not provide evidence for points adjust/refund feature</x:t>
        </x:is>
      </x:c>
    </x:row>
    <x:row r="137">
      <x:c r="A137" s="2" t="inlineStr">
        <x:is>
          <x:t xml:space="preserve">C-000136</x:t>
        </x:is>
      </x:c>
      <x:c r="B137" s="8" t="n">
        <x:v>46030.15761975694</x:v>
      </x:c>
      <x:c r="C137" s="2" t="inlineStr">
        <x:is>
          <x:t xml:space="preserve">FULL_STACK_FEATURE_MATRIX</x:t>
        </x:is>
      </x:c>
      <x:c r="D137" s="2" t="inlineStr">
        <x:is>
          <x:t xml:space="preserve">F-020</x:t>
        </x:is>
      </x:c>
      <x:c r="E137" s="2" t="inlineStr">
        <x:is>
          <x:t xml:space="preserve">Evidence_Ref</x:t>
        </x:is>
      </x:c>
      <x:c r="F137" s="2" t="inlineStr">
        <x:is>
          <x:t xml:space="preserve"/>
        </x:is>
      </x:c>
      <x:c r="G137" s="2" t="inlineStr">
        <x:is>
          <x:t xml:space="preserve">PDF does not provide evidence for points adjust/refund feature</x:t>
        </x:is>
      </x:c>
      <x:c r="H137" s="2" t="inlineStr">
        <x:is>
          <x:t xml:space="preserve">Evidence tracking added.</x:t>
        </x:is>
      </x:c>
      <x:c r="I137" s="2" t="inlineStr">
        <x:is>
          <x:t xml:space="preserve">PDF does not provide evidence for points adjust/refund feature</x:t>
        </x:is>
      </x:c>
    </x:row>
    <x:row r="138">
      <x:c r="A138" s="2" t="inlineStr">
        <x:is>
          <x:t xml:space="preserve">C-000137</x:t>
        </x:is>
      </x:c>
      <x:c r="B138" s="8" t="n">
        <x:v>46030.15761975694</x:v>
      </x:c>
      <x:c r="C138" s="2" t="inlineStr">
        <x:is>
          <x:t xml:space="preserve">FULL_STACK_FEATURE_MATRIX</x:t>
        </x:is>
      </x:c>
      <x:c r="D138" s="2" t="inlineStr">
        <x:is>
          <x:t xml:space="preserve">F-021</x:t>
        </x:is>
      </x:c>
      <x:c r="E138" s="2" t="inlineStr">
        <x:is>
          <x:t xml:space="preserve">Blocker_Type</x:t>
        </x:is>
      </x:c>
      <x:c r="F138" s="2" t="inlineStr">
        <x:is>
          <x:t xml:space="preserve">Infra</x:t>
        </x:is>
      </x:c>
      <x:c r="G138" s="2" t="inlineStr">
        <x:is>
          <x:t xml:space="preserve">Tech</x:t>
        </x:is>
      </x:c>
      <x:c r="H138" s="2" t="inlineStr">
        <x:is>
          <x:t xml:space="preserve">Rebased to PDF brutal-evidence rules for this run.</x:t>
        </x:is>
      </x:c>
      <x:c r="I138" s="2" t="inlineStr">
        <x:is>
          <x:t xml:space="preserve">PDF SECTION 5 item 6 + Parity gap table</x:t>
        </x:is>
      </x:c>
    </x:row>
    <x:row r="139">
      <x:c r="A139" s="2" t="inlineStr">
        <x:is>
          <x:t xml:space="preserve">C-000138</x:t>
        </x:is>
      </x:c>
      <x:c r="B139" s="8" t="n">
        <x:v>46030.15761975694</x:v>
      </x:c>
      <x:c r="C139" s="2" t="inlineStr">
        <x:is>
          <x:t xml:space="preserve">FULL_STACK_FEATURE_MATRIX</x:t>
        </x:is>
      </x:c>
      <x:c r="D139" s="2" t="inlineStr">
        <x:is>
          <x:t xml:space="preserve">F-021</x:t>
        </x:is>
      </x:c>
      <x:c r="E139" s="2" t="inlineStr">
        <x:is>
          <x:t xml:space="preserve">Blocker_Description</x:t>
        </x:is>
      </x:c>
      <x:c r="F139" s="2" t="inlineStr">
        <x:is>
          <x:t xml:space="preserve">SMS functions exist; not wired to apps; no Lebanese gateway integration.</x:t>
        </x:is>
      </x:c>
      <x:c r="G139" s="2" t="inlineStr">
        <x:is>
          <x:t xml:space="preserve">SMS functions exist but not wired; apps use email/Google only.</x:t>
        </x:is>
      </x:c>
      <x:c r="H139" s="2" t="inlineStr">
        <x:is>
          <x:t xml:space="preserve">Rebased to PDF brutal-evidence rules for this run.</x:t>
        </x:is>
      </x:c>
      <x:c r="I139" s="2" t="inlineStr">
        <x:is>
          <x:t xml:space="preserve">PDF SECTION 5 item 6 + Parity gap table</x:t>
        </x:is>
      </x:c>
    </x:row>
    <x:row r="140">
      <x:c r="A140" s="2" t="inlineStr">
        <x:is>
          <x:t xml:space="preserve">C-000139</x:t>
        </x:is>
      </x:c>
      <x:c r="B140" s="8" t="n">
        <x:v>46030.15761975694</x:v>
      </x:c>
      <x:c r="C140" s="2" t="inlineStr">
        <x:is>
          <x:t xml:space="preserve">FULL_STACK_FEATURE_MATRIX</x:t>
        </x:is>
      </x:c>
      <x:c r="D140" s="2" t="inlineStr">
        <x:is>
          <x:t xml:space="preserve">F-021</x:t>
        </x:is>
      </x:c>
      <x:c r="E140" s="2" t="inlineStr">
        <x:is>
          <x:t xml:space="preserve">Execution_Order</x:t>
        </x:is>
      </x:c>
      <x:c r="F140" s="2" t="inlineStr">
        <x:is>
          <x:t xml:space="preserve">21</x:t>
        </x:is>
      </x:c>
      <x:c r="G140" s="2" t="inlineStr">
        <x:is>
          <x:t xml:space="preserve">8</x:t>
        </x:is>
      </x:c>
      <x:c r="H140" s="2" t="inlineStr">
        <x:is>
          <x:t xml:space="preserve">Rebased to PDF brutal-evidence rules for this run.</x:t>
        </x:is>
      </x:c>
      <x:c r="I140" s="2" t="inlineStr">
        <x:is>
          <x:t xml:space="preserve">PDF SECTION 5 item 6 + Parity gap table</x:t>
        </x:is>
      </x:c>
    </x:row>
    <x:row r="141">
      <x:c r="A141" s="2" t="inlineStr">
        <x:is>
          <x:t xml:space="preserve">C-000140</x:t>
        </x:is>
      </x:c>
      <x:c r="B141" s="8" t="n">
        <x:v>46030.15761975694</x:v>
      </x:c>
      <x:c r="C141" s="2" t="inlineStr">
        <x:is>
          <x:t xml:space="preserve">FULL_STACK_FEATURE_MATRIX</x:t>
        </x:is>
      </x:c>
      <x:c r="D141" s="2" t="inlineStr">
        <x:is>
          <x:t xml:space="preserve">F-021</x:t>
        </x:is>
      </x:c>
      <x:c r="E141" s="2" t="inlineStr">
        <x:is>
          <x:t xml:space="preserve">Last_Updated_At</x:t>
        </x:is>
      </x:c>
      <x:c r="F141" s="2" t="inlineStr">
        <x:is>
          <x:t xml:space="preserve"/>
        </x:is>
      </x:c>
      <x:c r="G141" s="2" t="inlineStr">
        <x:is>
          <x:t xml:space="preserve">2026-01-08 03:46:58</x:t>
        </x:is>
      </x:c>
      <x:c r="H141" s="2" t="inlineStr">
        <x:is>
          <x:t xml:space="preserve">Timestamp tracking added.</x:t>
        </x:is>
      </x:c>
      <x:c r="I141" s="2" t="inlineStr">
        <x:is>
          <x:t xml:space="preserve">PDF SECTION 5 item 6 + Parity gap table</x:t>
        </x:is>
      </x:c>
    </x:row>
    <x:row r="142">
      <x:c r="A142" s="2" t="inlineStr">
        <x:is>
          <x:t xml:space="preserve">C-000141</x:t>
        </x:is>
      </x:c>
      <x:c r="B142" s="8" t="n">
        <x:v>46030.15761975694</x:v>
      </x:c>
      <x:c r="C142" s="2" t="inlineStr">
        <x:is>
          <x:t xml:space="preserve">FULL_STACK_FEATURE_MATRIX</x:t>
        </x:is>
      </x:c>
      <x:c r="D142" s="2" t="inlineStr">
        <x:is>
          <x:t xml:space="preserve">F-021</x:t>
        </x:is>
      </x:c>
      <x:c r="E142" s="2" t="inlineStr">
        <x:is>
          <x:t xml:space="preserve">Last_Updated_By</x:t>
        </x:is>
      </x:c>
      <x:c r="F142" s="2" t="inlineStr">
        <x:is>
          <x:t xml:space="preserve"/>
        </x:is>
      </x:c>
      <x:c r="G142" s="2" t="inlineStr">
        <x:is>
          <x:t xml:space="preserve">ChatGPT</x:t>
        </x:is>
      </x:c>
      <x:c r="H142" s="2" t="inlineStr">
        <x:is>
          <x:t xml:space="preserve">Timestamp tracking added.</x:t>
        </x:is>
      </x:c>
      <x:c r="I142" s="2" t="inlineStr">
        <x:is>
          <x:t xml:space="preserve">PDF SECTION 5 item 6 + Parity gap table</x:t>
        </x:is>
      </x:c>
    </x:row>
    <x:row r="143">
      <x:c r="A143" s="2" t="inlineStr">
        <x:is>
          <x:t xml:space="preserve">C-000142</x:t>
        </x:is>
      </x:c>
      <x:c r="B143" s="8" t="n">
        <x:v>46030.15761975694</x:v>
      </x:c>
      <x:c r="C143" s="2" t="inlineStr">
        <x:is>
          <x:t xml:space="preserve">FULL_STACK_FEATURE_MATRIX</x:t>
        </x:is>
      </x:c>
      <x:c r="D143" s="2" t="inlineStr">
        <x:is>
          <x:t xml:space="preserve">F-021</x:t>
        </x:is>
      </x:c>
      <x:c r="E143" s="2" t="inlineStr">
        <x:is>
          <x:t xml:space="preserve">Evidence_Ref</x:t>
        </x:is>
      </x:c>
      <x:c r="F143" s="2" t="inlineStr">
        <x:is>
          <x:t xml:space="preserve"/>
        </x:is>
      </x:c>
      <x:c r="G143" s="2" t="inlineStr">
        <x:is>
          <x:t xml:space="preserve">PDF SECTION 5 item 6 + Parity gap table</x:t>
        </x:is>
      </x:c>
      <x:c r="H143" s="2" t="inlineStr">
        <x:is>
          <x:t xml:space="preserve">Evidence tracking added.</x:t>
        </x:is>
      </x:c>
      <x:c r="I143" s="2" t="inlineStr">
        <x:is>
          <x:t xml:space="preserve">PDF SECTION 5 item 6 + Parity gap table</x:t>
        </x:is>
      </x:c>
    </x:row>
    <x:row r="144">
      <x:c r="A144" s="2" t="inlineStr">
        <x:is>
          <x:t xml:space="preserve">C-000143</x:t>
        </x:is>
      </x:c>
      <x:c r="B144" s="8" t="n">
        <x:v>46030.15761975694</x:v>
      </x:c>
      <x:c r="C144" s="2" t="inlineStr">
        <x:is>
          <x:t xml:space="preserve">FULL_STACK_FEATURE_MATRIX</x:t>
        </x:is>
      </x:c>
      <x:c r="D144" s="2" t="inlineStr">
        <x:is>
          <x:t xml:space="preserve">F-022</x:t>
        </x:is>
      </x:c>
      <x:c r="E144" s="2" t="inlineStr">
        <x:is>
          <x:t xml:space="preserve">Blocker_Description</x:t>
        </x:is>
      </x:c>
      <x:c r="F144" s="2" t="inlineStr">
        <x:is>
          <x:t xml:space="preserve">Only generic placeholder; no provider integration.</x:t>
        </x:is>
      </x:c>
      <x:c r="G144" s="2" t="inlineStr">
        <x:is>
          <x:t xml:space="preserve">No Lebanese gateway integration (Ogero/Alfa/Touch); only generic SMS skeleton.</x:t>
        </x:is>
      </x:c>
      <x:c r="H144" s="2" t="inlineStr">
        <x:is>
          <x:t xml:space="preserve">Rebased to PDF brutal-evidence rules for this run.</x:t>
        </x:is>
      </x:c>
      <x:c r="I144" s="2" t="inlineStr">
        <x:is>
          <x:t xml:space="preserve">PDF SECTION 6 item 1 + Parity gap table</x:t>
        </x:is>
      </x:c>
    </x:row>
    <x:row r="145">
      <x:c r="A145" s="2" t="inlineStr">
        <x:is>
          <x:t xml:space="preserve">C-000144</x:t>
        </x:is>
      </x:c>
      <x:c r="B145" s="8" t="n">
        <x:v>46030.15761975694</x:v>
      </x:c>
      <x:c r="C145" s="2" t="inlineStr">
        <x:is>
          <x:t xml:space="preserve">FULL_STACK_FEATURE_MATRIX</x:t>
        </x:is>
      </x:c>
      <x:c r="D145" s="2" t="inlineStr">
        <x:is>
          <x:t xml:space="preserve">F-022</x:t>
        </x:is>
      </x:c>
      <x:c r="E145" s="2" t="inlineStr">
        <x:is>
          <x:t xml:space="preserve">Priority</x:t>
        </x:is>
      </x:c>
      <x:c r="F145" s="2" t="inlineStr">
        <x:is>
          <x:t xml:space="preserve">P1</x:t>
        </x:is>
      </x:c>
      <x:c r="G145" s="2" t="inlineStr">
        <x:is>
          <x:t xml:space="preserve">P2</x:t>
        </x:is>
      </x:c>
      <x:c r="H145" s="2" t="inlineStr">
        <x:is>
          <x:t xml:space="preserve">Rebased to PDF brutal-evidence rules for this run.</x:t>
        </x:is>
      </x:c>
      <x:c r="I145" s="2" t="inlineStr">
        <x:is>
          <x:t xml:space="preserve">PDF SECTION 6 item 1 + Parity gap table</x:t>
        </x:is>
      </x:c>
    </x:row>
    <x:row r="146">
      <x:c r="A146" s="2" t="inlineStr">
        <x:is>
          <x:t xml:space="preserve">C-000145</x:t>
        </x:is>
      </x:c>
      <x:c r="B146" s="8" t="n">
        <x:v>46030.15761975694</x:v>
      </x:c>
      <x:c r="C146" s="2" t="inlineStr">
        <x:is>
          <x:t xml:space="preserve">FULL_STACK_FEATURE_MATRIX</x:t>
        </x:is>
      </x:c>
      <x:c r="D146" s="2" t="inlineStr">
        <x:is>
          <x:t xml:space="preserve">F-022</x:t>
        </x:is>
      </x:c>
      <x:c r="E146" s="2" t="inlineStr">
        <x:is>
          <x:t xml:space="preserve">Execution_Order</x:t>
        </x:is>
      </x:c>
      <x:c r="F146" s="2" t="inlineStr">
        <x:is>
          <x:t xml:space="preserve">22</x:t>
        </x:is>
      </x:c>
      <x:c r="G146" s="2" t="inlineStr">
        <x:is>
          <x:t xml:space="preserve">33</x:t>
        </x:is>
      </x:c>
      <x:c r="H146" s="2" t="inlineStr">
        <x:is>
          <x:t xml:space="preserve">Rebased to PDF brutal-evidence rules for this run.</x:t>
        </x:is>
      </x:c>
      <x:c r="I146" s="2" t="inlineStr">
        <x:is>
          <x:t xml:space="preserve">PDF SECTION 6 item 1 + Parity gap table</x:t>
        </x:is>
      </x:c>
    </x:row>
    <x:row r="147">
      <x:c r="A147" s="2" t="inlineStr">
        <x:is>
          <x:t xml:space="preserve">C-000146</x:t>
        </x:is>
      </x:c>
      <x:c r="B147" s="8" t="n">
        <x:v>46030.15761975694</x:v>
      </x:c>
      <x:c r="C147" s="2" t="inlineStr">
        <x:is>
          <x:t xml:space="preserve">FULL_STACK_FEATURE_MATRIX</x:t>
        </x:is>
      </x:c>
      <x:c r="D147" s="2" t="inlineStr">
        <x:is>
          <x:t xml:space="preserve">F-022</x:t>
        </x:is>
      </x:c>
      <x:c r="E147" s="2" t="inlineStr">
        <x:is>
          <x:t xml:space="preserve">Last_Updated_At</x:t>
        </x:is>
      </x:c>
      <x:c r="F147" s="2" t="inlineStr">
        <x:is>
          <x:t xml:space="preserve"/>
        </x:is>
      </x:c>
      <x:c r="G147" s="2" t="inlineStr">
        <x:is>
          <x:t xml:space="preserve">2026-01-08 03:46:58</x:t>
        </x:is>
      </x:c>
      <x:c r="H147" s="2" t="inlineStr">
        <x:is>
          <x:t xml:space="preserve">Timestamp tracking added.</x:t>
        </x:is>
      </x:c>
      <x:c r="I147" s="2" t="inlineStr">
        <x:is>
          <x:t xml:space="preserve">PDF SECTION 6 item 1 + Parity gap table</x:t>
        </x:is>
      </x:c>
    </x:row>
    <x:row r="148">
      <x:c r="A148" s="2" t="inlineStr">
        <x:is>
          <x:t xml:space="preserve">C-000147</x:t>
        </x:is>
      </x:c>
      <x:c r="B148" s="8" t="n">
        <x:v>46030.15761975694</x:v>
      </x:c>
      <x:c r="C148" s="2" t="inlineStr">
        <x:is>
          <x:t xml:space="preserve">FULL_STACK_FEATURE_MATRIX</x:t>
        </x:is>
      </x:c>
      <x:c r="D148" s="2" t="inlineStr">
        <x:is>
          <x:t xml:space="preserve">F-022</x:t>
        </x:is>
      </x:c>
      <x:c r="E148" s="2" t="inlineStr">
        <x:is>
          <x:t xml:space="preserve">Last_Updated_By</x:t>
        </x:is>
      </x:c>
      <x:c r="F148" s="2" t="inlineStr">
        <x:is>
          <x:t xml:space="preserve"/>
        </x:is>
      </x:c>
      <x:c r="G148" s="2" t="inlineStr">
        <x:is>
          <x:t xml:space="preserve">ChatGPT</x:t>
        </x:is>
      </x:c>
      <x:c r="H148" s="2" t="inlineStr">
        <x:is>
          <x:t xml:space="preserve">Timestamp tracking added.</x:t>
        </x:is>
      </x:c>
      <x:c r="I148" s="2" t="inlineStr">
        <x:is>
          <x:t xml:space="preserve">PDF SECTION 6 item 1 + Parity gap table</x:t>
        </x:is>
      </x:c>
    </x:row>
    <x:row r="149">
      <x:c r="A149" s="2" t="inlineStr">
        <x:is>
          <x:t xml:space="preserve">C-000148</x:t>
        </x:is>
      </x:c>
      <x:c r="B149" s="8" t="n">
        <x:v>46030.15761975694</x:v>
      </x:c>
      <x:c r="C149" s="2" t="inlineStr">
        <x:is>
          <x:t xml:space="preserve">FULL_STACK_FEATURE_MATRIX</x:t>
        </x:is>
      </x:c>
      <x:c r="D149" s="2" t="inlineStr">
        <x:is>
          <x:t xml:space="preserve">F-022</x:t>
        </x:is>
      </x:c>
      <x:c r="E149" s="2" t="inlineStr">
        <x:is>
          <x:t xml:space="preserve">Evidence_Ref</x:t>
        </x:is>
      </x:c>
      <x:c r="F149" s="2" t="inlineStr">
        <x:is>
          <x:t xml:space="preserve"/>
        </x:is>
      </x:c>
      <x:c r="G149" s="2" t="inlineStr">
        <x:is>
          <x:t xml:space="preserve">PDF SECTION 6 item 1 + Parity gap table</x:t>
        </x:is>
      </x:c>
      <x:c r="H149" s="2" t="inlineStr">
        <x:is>
          <x:t xml:space="preserve">Evidence tracking added.</x:t>
        </x:is>
      </x:c>
      <x:c r="I149" s="2" t="inlineStr">
        <x:is>
          <x:t xml:space="preserve">PDF SECTION 6 item 1 + Parity gap table</x:t>
        </x:is>
      </x:c>
    </x:row>
    <x:row r="150">
      <x:c r="A150" s="2" t="inlineStr">
        <x:is>
          <x:t xml:space="preserve">C-000149</x:t>
        </x:is>
      </x:c>
      <x:c r="B150" s="8" t="n">
        <x:v>46030.15761975694</x:v>
      </x:c>
      <x:c r="C150" s="2" t="inlineStr">
        <x:is>
          <x:t xml:space="preserve">FULL_STACK_FEATURE_MATRIX</x:t>
        </x:is>
      </x:c>
      <x:c r="D150" s="2" t="inlineStr">
        <x:is>
          <x:t xml:space="preserve">F-023</x:t>
        </x:is>
      </x:c>
      <x:c r="E150" s="2" t="inlineStr">
        <x:is>
          <x:t xml:space="preserve">Blocker_Description</x:t>
        </x:is>
      </x:c>
      <x:c r="F150" s="2" t="inlineStr">
        <x:is>
          <x:t xml:space="preserve">No i18n framework detected anywhere.</x:t>
        </x:is>
      </x:c>
      <x:c r="G150" s="2" t="inlineStr">
        <x:is>
          <x:t xml:space="preserve">No localization/i18n framework detected; English-only.</x:t>
        </x:is>
      </x:c>
      <x:c r="H150" s="2" t="inlineStr">
        <x:is>
          <x:t xml:space="preserve">Rebased to PDF brutal-evidence rules for this run.</x:t>
        </x:is>
      </x:c>
      <x:c r="I150" s="2" t="inlineStr">
        <x:is>
          <x:t xml:space="preserve">PDF SECTION 5 item 7 + High-impact blockers</x:t>
        </x:is>
      </x:c>
    </x:row>
    <x:row r="151">
      <x:c r="A151" s="2" t="inlineStr">
        <x:is>
          <x:t xml:space="preserve">C-000150</x:t>
        </x:is>
      </x:c>
      <x:c r="B151" s="8" t="n">
        <x:v>46030.15761975694</x:v>
      </x:c>
      <x:c r="C151" s="2" t="inlineStr">
        <x:is>
          <x:t xml:space="preserve">FULL_STACK_FEATURE_MATRIX</x:t>
        </x:is>
      </x:c>
      <x:c r="D151" s="2" t="inlineStr">
        <x:is>
          <x:t xml:space="preserve">F-023</x:t>
        </x:is>
      </x:c>
      <x:c r="E151" s="2" t="inlineStr">
        <x:is>
          <x:t xml:space="preserve">Execution_Order</x:t>
        </x:is>
      </x:c>
      <x:c r="F151" s="2" t="inlineStr">
        <x:is>
          <x:t xml:space="preserve">23</x:t>
        </x:is>
      </x:c>
      <x:c r="G151" s="2" t="inlineStr">
        <x:is>
          <x:t xml:space="preserve">13</x:t>
        </x:is>
      </x:c>
      <x:c r="H151" s="2" t="inlineStr">
        <x:is>
          <x:t xml:space="preserve">Rebased to PDF brutal-evidence rules for this run.</x:t>
        </x:is>
      </x:c>
      <x:c r="I151" s="2" t="inlineStr">
        <x:is>
          <x:t xml:space="preserve">PDF SECTION 5 item 7 + High-impact blockers</x:t>
        </x:is>
      </x:c>
    </x:row>
    <x:row r="152">
      <x:c r="A152" s="2" t="inlineStr">
        <x:is>
          <x:t xml:space="preserve">C-000151</x:t>
        </x:is>
      </x:c>
      <x:c r="B152" s="8" t="n">
        <x:v>46030.15761975694</x:v>
      </x:c>
      <x:c r="C152" s="2" t="inlineStr">
        <x:is>
          <x:t xml:space="preserve">FULL_STACK_FEATURE_MATRIX</x:t>
        </x:is>
      </x:c>
      <x:c r="D152" s="2" t="inlineStr">
        <x:is>
          <x:t xml:space="preserve">F-023</x:t>
        </x:is>
      </x:c>
      <x:c r="E152" s="2" t="inlineStr">
        <x:is>
          <x:t xml:space="preserve">Last_Updated_At</x:t>
        </x:is>
      </x:c>
      <x:c r="F152" s="2" t="inlineStr">
        <x:is>
          <x:t xml:space="preserve"/>
        </x:is>
      </x:c>
      <x:c r="G152" s="2" t="inlineStr">
        <x:is>
          <x:t xml:space="preserve">2026-01-08 03:46:58</x:t>
        </x:is>
      </x:c>
      <x:c r="H152" s="2" t="inlineStr">
        <x:is>
          <x:t xml:space="preserve">Timestamp tracking added.</x:t>
        </x:is>
      </x:c>
      <x:c r="I152" s="2" t="inlineStr">
        <x:is>
          <x:t xml:space="preserve">PDF SECTION 5 item 7 + High-impact blockers</x:t>
        </x:is>
      </x:c>
    </x:row>
    <x:row r="153">
      <x:c r="A153" s="2" t="inlineStr">
        <x:is>
          <x:t xml:space="preserve">C-000152</x:t>
        </x:is>
      </x:c>
      <x:c r="B153" s="8" t="n">
        <x:v>46030.15761975694</x:v>
      </x:c>
      <x:c r="C153" s="2" t="inlineStr">
        <x:is>
          <x:t xml:space="preserve">FULL_STACK_FEATURE_MATRIX</x:t>
        </x:is>
      </x:c>
      <x:c r="D153" s="2" t="inlineStr">
        <x:is>
          <x:t xml:space="preserve">F-023</x:t>
        </x:is>
      </x:c>
      <x:c r="E153" s="2" t="inlineStr">
        <x:is>
          <x:t xml:space="preserve">Last_Updated_By</x:t>
        </x:is>
      </x:c>
      <x:c r="F153" s="2" t="inlineStr">
        <x:is>
          <x:t xml:space="preserve"/>
        </x:is>
      </x:c>
      <x:c r="G153" s="2" t="inlineStr">
        <x:is>
          <x:t xml:space="preserve">ChatGPT</x:t>
        </x:is>
      </x:c>
      <x:c r="H153" s="2" t="inlineStr">
        <x:is>
          <x:t xml:space="preserve">Timestamp tracking added.</x:t>
        </x:is>
      </x:c>
      <x:c r="I153" s="2" t="inlineStr">
        <x:is>
          <x:t xml:space="preserve">PDF SECTION 5 item 7 + High-impact blockers</x:t>
        </x:is>
      </x:c>
    </x:row>
    <x:row r="154">
      <x:c r="A154" s="2" t="inlineStr">
        <x:is>
          <x:t xml:space="preserve">C-000153</x:t>
        </x:is>
      </x:c>
      <x:c r="B154" s="8" t="n">
        <x:v>46030.15761975694</x:v>
      </x:c>
      <x:c r="C154" s="2" t="inlineStr">
        <x:is>
          <x:t xml:space="preserve">FULL_STACK_FEATURE_MATRIX</x:t>
        </x:is>
      </x:c>
      <x:c r="D154" s="2" t="inlineStr">
        <x:is>
          <x:t xml:space="preserve">F-023</x:t>
        </x:is>
      </x:c>
      <x:c r="E154" s="2" t="inlineStr">
        <x:is>
          <x:t xml:space="preserve">Evidence_Ref</x:t>
        </x:is>
      </x:c>
      <x:c r="F154" s="2" t="inlineStr">
        <x:is>
          <x:t xml:space="preserve"/>
        </x:is>
      </x:c>
      <x:c r="G154" s="2" t="inlineStr">
        <x:is>
          <x:t xml:space="preserve">PDF SECTION 5 item 7 + High-impact blockers</x:t>
        </x:is>
      </x:c>
      <x:c r="H154" s="2" t="inlineStr">
        <x:is>
          <x:t xml:space="preserve">Evidence tracking added.</x:t>
        </x:is>
      </x:c>
      <x:c r="I154" s="2" t="inlineStr">
        <x:is>
          <x:t xml:space="preserve">PDF SECTION 5 item 7 + High-impact blockers</x:t>
        </x:is>
      </x:c>
    </x:row>
    <x:row r="155">
      <x:c r="A155" s="2" t="inlineStr">
        <x:is>
          <x:t xml:space="preserve">C-000154</x:t>
        </x:is>
      </x:c>
      <x:c r="B155" s="8" t="n">
        <x:v>46030.15761975694</x:v>
      </x:c>
      <x:c r="C155" s="2" t="inlineStr">
        <x:is>
          <x:t xml:space="preserve">FULL_STACK_FEATURE_MATRIX</x:t>
        </x:is>
      </x:c>
      <x:c r="D155" s="2" t="inlineStr">
        <x:is>
          <x:t xml:space="preserve">F-024</x:t>
        </x:is>
      </x:c>
      <x:c r="E155" s="2" t="inlineStr">
        <x:is>
          <x:t xml:space="preserve">Mobile_Merchant_Status</x:t>
        </x:is>
      </x:c>
      <x:c r="F155" s="2" t="inlineStr">
        <x:is>
          <x:t xml:space="preserve">Partial</x:t>
        </x:is>
      </x:c>
      <x:c r="G155" s="2" t="inlineStr">
        <x:is>
          <x:t xml:space="preserve">Not Started</x:t>
        </x:is>
      </x:c>
      <x:c r="H155" s="2" t="inlineStr">
        <x:is>
          <x:t xml:space="preserve">Rebased to PDF brutal-evidence rules for this run.</x:t>
        </x:is>
      </x:c>
      <x:c r="I155" s="2" t="inlineStr">
        <x:is>
          <x:t xml:space="preserve">PDF SECTION 5 item 8</x:t>
        </x:is>
      </x:c>
    </x:row>
    <x:row r="156">
      <x:c r="A156" s="2" t="inlineStr">
        <x:is>
          <x:t xml:space="preserve">C-000155</x:t>
        </x:is>
      </x:c>
      <x:c r="B156" s="8" t="n">
        <x:v>46030.15761975694</x:v>
      </x:c>
      <x:c r="C156" s="2" t="inlineStr">
        <x:is>
          <x:t xml:space="preserve">FULL_STACK_FEATURE_MATRIX</x:t>
        </x:is>
      </x:c>
      <x:c r="D156" s="2" t="inlineStr">
        <x:is>
          <x:t xml:space="preserve">F-024</x:t>
        </x:is>
      </x:c>
      <x:c r="E156" s="2" t="inlineStr">
        <x:is>
          <x:t xml:space="preserve">Mobile_Merchant_Completion_%</x:t>
        </x:is>
      </x:c>
      <x:c r="F156" s="2" t="inlineStr">
        <x:is>
          <x:t xml:space="preserve">40</x:t>
        </x:is>
      </x:c>
      <x:c r="G156" s="2" t="inlineStr">
        <x:is>
          <x:t xml:space="preserve">0</x:t>
        </x:is>
      </x:c>
      <x:c r="H156" s="2" t="inlineStr">
        <x:is>
          <x:t xml:space="preserve">Rebased to PDF brutal-evidence rules for this run.</x:t>
        </x:is>
      </x:c>
      <x:c r="I156" s="2" t="inlineStr">
        <x:is>
          <x:t xml:space="preserve">PDF SECTION 5 item 8</x:t>
        </x:is>
      </x:c>
    </x:row>
    <x:row r="157">
      <x:c r="A157" s="2" t="inlineStr">
        <x:is>
          <x:t xml:space="preserve">C-000156</x:t>
        </x:is>
      </x:c>
      <x:c r="B157" s="8" t="n">
        <x:v>46030.15761975694</x:v>
      </x:c>
      <x:c r="C157" s="2" t="inlineStr">
        <x:is>
          <x:t xml:space="preserve">FULL_STACK_FEATURE_MATRIX</x:t>
        </x:is>
      </x:c>
      <x:c r="D157" s="2" t="inlineStr">
        <x:is>
          <x:t xml:space="preserve">F-024</x:t>
        </x:is>
      </x:c>
      <x:c r="E157" s="2" t="inlineStr">
        <x:is>
          <x:t xml:space="preserve">Blocker_Description</x:t>
        </x:is>
      </x:c>
      <x:c r="F157" s="2" t="inlineStr">
        <x:is>
          <x:t xml:space="preserve">Backend supports types; merchant UI lacks offer type dropdown.</x:t>
        </x:is>
      </x:c>
      <x:c r="G157" s="2" t="inlineStr">
        <x:is>
          <x:t xml:space="preserve">Backend supports offer types, but merchant UI lacks selection dropdown.</x:t>
        </x:is>
      </x:c>
      <x:c r="H157" s="2" t="inlineStr">
        <x:is>
          <x:t xml:space="preserve">Rebased to PDF brutal-evidence rules for this run.</x:t>
        </x:is>
      </x:c>
      <x:c r="I157" s="2" t="inlineStr">
        <x:is>
          <x:t xml:space="preserve">PDF SECTION 5 item 8</x:t>
        </x:is>
      </x:c>
    </x:row>
    <x:row r="158">
      <x:c r="A158" s="2" t="inlineStr">
        <x:is>
          <x:t xml:space="preserve">C-000157</x:t>
        </x:is>
      </x:c>
      <x:c r="B158" s="8" t="n">
        <x:v>46030.15761975694</x:v>
      </x:c>
      <x:c r="C158" s="2" t="inlineStr">
        <x:is>
          <x:t xml:space="preserve">FULL_STACK_FEATURE_MATRIX</x:t>
        </x:is>
      </x:c>
      <x:c r="D158" s="2" t="inlineStr">
        <x:is>
          <x:t xml:space="preserve">F-024</x:t>
        </x:is>
      </x:c>
      <x:c r="E158" s="2" t="inlineStr">
        <x:is>
          <x:t xml:space="preserve">Priority</x:t>
        </x:is>
      </x:c>
      <x:c r="F158" s="2" t="inlineStr">
        <x:is>
          <x:t xml:space="preserve">P1</x:t>
        </x:is>
      </x:c>
      <x:c r="G158" s="2" t="inlineStr">
        <x:is>
          <x:t xml:space="preserve">P2</x:t>
        </x:is>
      </x:c>
      <x:c r="H158" s="2" t="inlineStr">
        <x:is>
          <x:t xml:space="preserve">Rebased to PDF brutal-evidence rules for this run.</x:t>
        </x:is>
      </x:c>
      <x:c r="I158" s="2" t="inlineStr">
        <x:is>
          <x:t xml:space="preserve">PDF SECTION 5 item 8</x:t>
        </x:is>
      </x:c>
    </x:row>
    <x:row r="159">
      <x:c r="A159" s="2" t="inlineStr">
        <x:is>
          <x:t xml:space="preserve">C-000158</x:t>
        </x:is>
      </x:c>
      <x:c r="B159" s="8" t="n">
        <x:v>46030.15761975694</x:v>
      </x:c>
      <x:c r="C159" s="2" t="inlineStr">
        <x:is>
          <x:t xml:space="preserve">FULL_STACK_FEATURE_MATRIX</x:t>
        </x:is>
      </x:c>
      <x:c r="D159" s="2" t="inlineStr">
        <x:is>
          <x:t xml:space="preserve">F-024</x:t>
        </x:is>
      </x:c>
      <x:c r="E159" s="2" t="inlineStr">
        <x:is>
          <x:t xml:space="preserve">Execution_Order</x:t>
        </x:is>
      </x:c>
      <x:c r="F159" s="2" t="inlineStr">
        <x:is>
          <x:t xml:space="preserve">24</x:t>
        </x:is>
      </x:c>
      <x:c r="G159" s="2" t="inlineStr">
        <x:is>
          <x:t xml:space="preserve">34</x:t>
        </x:is>
      </x:c>
      <x:c r="H159" s="2" t="inlineStr">
        <x:is>
          <x:t xml:space="preserve">Rebased to PDF brutal-evidence rules for this run.</x:t>
        </x:is>
      </x:c>
      <x:c r="I159" s="2" t="inlineStr">
        <x:is>
          <x:t xml:space="preserve">PDF SECTION 5 item 8</x:t>
        </x:is>
      </x:c>
    </x:row>
    <x:row r="160">
      <x:c r="A160" s="2" t="inlineStr">
        <x:is>
          <x:t xml:space="preserve">C-000159</x:t>
        </x:is>
      </x:c>
      <x:c r="B160" s="8" t="n">
        <x:v>46030.15761975694</x:v>
      </x:c>
      <x:c r="C160" s="2" t="inlineStr">
        <x:is>
          <x:t xml:space="preserve">FULL_STACK_FEATURE_MATRIX</x:t>
        </x:is>
      </x:c>
      <x:c r="D160" s="2" t="inlineStr">
        <x:is>
          <x:t xml:space="preserve">F-024</x:t>
        </x:is>
      </x:c>
      <x:c r="E160" s="2" t="inlineStr">
        <x:is>
          <x:t xml:space="preserve">Last_Updated_At</x:t>
        </x:is>
      </x:c>
      <x:c r="F160" s="2" t="inlineStr">
        <x:is>
          <x:t xml:space="preserve"/>
        </x:is>
      </x:c>
      <x:c r="G160" s="2" t="inlineStr">
        <x:is>
          <x:t xml:space="preserve">2026-01-08 03:46:58</x:t>
        </x:is>
      </x:c>
      <x:c r="H160" s="2" t="inlineStr">
        <x:is>
          <x:t xml:space="preserve">Timestamp tracking added.</x:t>
        </x:is>
      </x:c>
      <x:c r="I160" s="2" t="inlineStr">
        <x:is>
          <x:t xml:space="preserve">PDF SECTION 5 item 8</x:t>
        </x:is>
      </x:c>
    </x:row>
    <x:row r="161">
      <x:c r="A161" s="2" t="inlineStr">
        <x:is>
          <x:t xml:space="preserve">C-000160</x:t>
        </x:is>
      </x:c>
      <x:c r="B161" s="8" t="n">
        <x:v>46030.15761975694</x:v>
      </x:c>
      <x:c r="C161" s="2" t="inlineStr">
        <x:is>
          <x:t xml:space="preserve">FULL_STACK_FEATURE_MATRIX</x:t>
        </x:is>
      </x:c>
      <x:c r="D161" s="2" t="inlineStr">
        <x:is>
          <x:t xml:space="preserve">F-024</x:t>
        </x:is>
      </x:c>
      <x:c r="E161" s="2" t="inlineStr">
        <x:is>
          <x:t xml:space="preserve">Last_Updated_By</x:t>
        </x:is>
      </x:c>
      <x:c r="F161" s="2" t="inlineStr">
        <x:is>
          <x:t xml:space="preserve"/>
        </x:is>
      </x:c>
      <x:c r="G161" s="2" t="inlineStr">
        <x:is>
          <x:t xml:space="preserve">ChatGPT</x:t>
        </x:is>
      </x:c>
      <x:c r="H161" s="2" t="inlineStr">
        <x:is>
          <x:t xml:space="preserve">Timestamp tracking added.</x:t>
        </x:is>
      </x:c>
      <x:c r="I161" s="2" t="inlineStr">
        <x:is>
          <x:t xml:space="preserve">PDF SECTION 5 item 8</x:t>
        </x:is>
      </x:c>
    </x:row>
    <x:row r="162">
      <x:c r="A162" s="2" t="inlineStr">
        <x:is>
          <x:t xml:space="preserve">C-000161</x:t>
        </x:is>
      </x:c>
      <x:c r="B162" s="8" t="n">
        <x:v>46030.15761975694</x:v>
      </x:c>
      <x:c r="C162" s="2" t="inlineStr">
        <x:is>
          <x:t xml:space="preserve">FULL_STACK_FEATURE_MATRIX</x:t>
        </x:is>
      </x:c>
      <x:c r="D162" s="2" t="inlineStr">
        <x:is>
          <x:t xml:space="preserve">F-024</x:t>
        </x:is>
      </x:c>
      <x:c r="E162" s="2" t="inlineStr">
        <x:is>
          <x:t xml:space="preserve">Evidence_Ref</x:t>
        </x:is>
      </x:c>
      <x:c r="F162" s="2" t="inlineStr">
        <x:is>
          <x:t xml:space="preserve"/>
        </x:is>
      </x:c>
      <x:c r="G162" s="2" t="inlineStr">
        <x:is>
          <x:t xml:space="preserve">PDF SECTION 5 item 8</x:t>
        </x:is>
      </x:c>
      <x:c r="H162" s="2" t="inlineStr">
        <x:is>
          <x:t xml:space="preserve">Evidence tracking added.</x:t>
        </x:is>
      </x:c>
      <x:c r="I162" s="2" t="inlineStr">
        <x:is>
          <x:t xml:space="preserve">PDF SECTION 5 item 8</x:t>
        </x:is>
      </x:c>
    </x:row>
    <x:row r="163">
      <x:c r="A163" s="2" t="inlineStr">
        <x:is>
          <x:t xml:space="preserve">C-000162</x:t>
        </x:is>
      </x:c>
      <x:c r="B163" s="8" t="n">
        <x:v>46030.15761975694</x:v>
      </x:c>
      <x:c r="C163" s="2" t="inlineStr">
        <x:is>
          <x:t xml:space="preserve">FULL_STACK_FEATURE_MATRIX</x:t>
        </x:is>
      </x:c>
      <x:c r="D163" s="2" t="inlineStr">
        <x:is>
          <x:t xml:space="preserve">F-025</x:t>
        </x:is>
      </x:c>
      <x:c r="E163" s="2" t="inlineStr">
        <x:is>
          <x:t xml:space="preserve">Backend_Status</x:t>
        </x:is>
      </x:c>
      <x:c r="F163" s="2" t="inlineStr">
        <x:is>
          <x:t xml:space="preserve">Not Started</x:t>
        </x:is>
      </x:c>
      <x:c r="G163" s="2" t="inlineStr">
        <x:is>
          <x:t xml:space="preserve">Partial</x:t>
        </x:is>
      </x:c>
      <x:c r="H163" s="2" t="inlineStr">
        <x:is>
          <x:t xml:space="preserve">Rebased to PDF brutal-evidence rules for this run.</x:t>
        </x:is>
      </x:c>
      <x:c r="I163" s="2" t="inlineStr">
        <x:is>
          <x:t xml:space="preserve">PDF SECTION 6 item 13 + Mobile Merchant capability table</x:t>
        </x:is>
      </x:c>
    </x:row>
    <x:row r="164">
      <x:c r="A164" s="2" t="inlineStr">
        <x:is>
          <x:t xml:space="preserve">C-000163</x:t>
        </x:is>
      </x:c>
      <x:c r="B164" s="8" t="n">
        <x:v>46030.15761975694</x:v>
      </x:c>
      <x:c r="C164" s="2" t="inlineStr">
        <x:is>
          <x:t xml:space="preserve">FULL_STACK_FEATURE_MATRIX</x:t>
        </x:is>
      </x:c>
      <x:c r="D164" s="2" t="inlineStr">
        <x:is>
          <x:t xml:space="preserve">F-025</x:t>
        </x:is>
      </x:c>
      <x:c r="E164" s="2" t="inlineStr">
        <x:is>
          <x:t xml:space="preserve">Backend_Completion_%</x:t>
        </x:is>
      </x:c>
      <x:c r="F164" s="2" t="inlineStr">
        <x:is>
          <x:t xml:space="preserve">0</x:t>
        </x:is>
      </x:c>
      <x:c r="G164" s="2" t="inlineStr">
        <x:is>
          <x:t xml:space="preserve">30</x:t>
        </x:is>
      </x:c>
      <x:c r="H164" s="2" t="inlineStr">
        <x:is>
          <x:t xml:space="preserve">Rebased to PDF brutal-evidence rules for this run.</x:t>
        </x:is>
      </x:c>
      <x:c r="I164" s="2" t="inlineStr">
        <x:is>
          <x:t xml:space="preserve">PDF SECTION 6 item 13 + Mobile Merchant capability table</x:t>
        </x:is>
      </x:c>
    </x:row>
    <x:row r="165">
      <x:c r="A165" s="2" t="inlineStr">
        <x:is>
          <x:t xml:space="preserve">C-000164</x:t>
        </x:is>
      </x:c>
      <x:c r="B165" s="8" t="n">
        <x:v>46030.15761975694</x:v>
      </x:c>
      <x:c r="C165" s="2" t="inlineStr">
        <x:is>
          <x:t xml:space="preserve">FULL_STACK_FEATURE_MATRIX</x:t>
        </x:is>
      </x:c>
      <x:c r="D165" s="2" t="inlineStr">
        <x:is>
          <x:t xml:space="preserve">F-025</x:t>
        </x:is>
      </x:c>
      <x:c r="E165" s="2" t="inlineStr">
        <x:is>
          <x:t xml:space="preserve">Mobile_Merchant_Completion_%</x:t>
        </x:is>
      </x:c>
      <x:c r="F165" s="2" t="inlineStr">
        <x:is>
          <x:t xml:space="preserve">40</x:t>
        </x:is>
      </x:c>
      <x:c r="G165" s="2" t="inlineStr">
        <x:is>
          <x:t xml:space="preserve">30</x:t>
        </x:is>
      </x:c>
      <x:c r="H165" s="2" t="inlineStr">
        <x:is>
          <x:t xml:space="preserve">Rebased to PDF brutal-evidence rules for this run.</x:t>
        </x:is>
      </x:c>
      <x:c r="I165" s="2" t="inlineStr">
        <x:is>
          <x:t xml:space="preserve">PDF SECTION 6 item 13 + Mobile Merchant capability table</x:t>
        </x:is>
      </x:c>
    </x:row>
    <x:row r="166">
      <x:c r="A166" s="2" t="inlineStr">
        <x:is>
          <x:t xml:space="preserve">C-000165</x:t>
        </x:is>
      </x:c>
      <x:c r="B166" s="8" t="n">
        <x:v>46030.15761975694</x:v>
      </x:c>
      <x:c r="C166" s="2" t="inlineStr">
        <x:is>
          <x:t xml:space="preserve">FULL_STACK_FEATURE_MATRIX</x:t>
        </x:is>
      </x:c>
      <x:c r="D166" s="2" t="inlineStr">
        <x:is>
          <x:t xml:space="preserve">F-025</x:t>
        </x:is>
      </x:c>
      <x:c r="E166" s="2" t="inlineStr">
        <x:is>
          <x:t xml:space="preserve">Blocker_Description</x:t>
        </x:is>
      </x:c>
      <x:c r="F166" s="2" t="inlineStr">
        <x:is>
          <x:t xml:space="preserve">Only basic metrics; no trends.</x:t>
        </x:is>
      </x:c>
      <x:c r="G166" s="2" t="inlineStr">
        <x:is>
          <x:t xml:space="preserve">Only basic metrics; no trends/cohorts.</x:t>
        </x:is>
      </x:c>
      <x:c r="H166" s="2" t="inlineStr">
        <x:is>
          <x:t xml:space="preserve">Rebased to PDF brutal-evidence rules for this run.</x:t>
        </x:is>
      </x:c>
      <x:c r="I166" s="2" t="inlineStr">
        <x:is>
          <x:t xml:space="preserve">PDF SECTION 6 item 13 + Mobile Merchant capability table</x:t>
        </x:is>
      </x:c>
    </x:row>
    <x:row r="167">
      <x:c r="A167" s="2" t="inlineStr">
        <x:is>
          <x:t xml:space="preserve">C-000166</x:t>
        </x:is>
      </x:c>
      <x:c r="B167" s="8" t="n">
        <x:v>46030.15761975694</x:v>
      </x:c>
      <x:c r="C167" s="2" t="inlineStr">
        <x:is>
          <x:t xml:space="preserve">FULL_STACK_FEATURE_MATRIX</x:t>
        </x:is>
      </x:c>
      <x:c r="D167" s="2" t="inlineStr">
        <x:is>
          <x:t xml:space="preserve">F-025</x:t>
        </x:is>
      </x:c>
      <x:c r="E167" s="2" t="inlineStr">
        <x:is>
          <x:t xml:space="preserve">Execution_Order</x:t>
        </x:is>
      </x:c>
      <x:c r="F167" s="2" t="inlineStr">
        <x:is>
          <x:t xml:space="preserve">25</x:t>
        </x:is>
      </x:c>
      <x:c r="G167" s="2" t="inlineStr">
        <x:is>
          <x:t xml:space="preserve">35</x:t>
        </x:is>
      </x:c>
      <x:c r="H167" s="2" t="inlineStr">
        <x:is>
          <x:t xml:space="preserve">Rebased to PDF brutal-evidence rules for this run.</x:t>
        </x:is>
      </x:c>
      <x:c r="I167" s="2" t="inlineStr">
        <x:is>
          <x:t xml:space="preserve">PDF SECTION 6 item 13 + Mobile Merchant capability table</x:t>
        </x:is>
      </x:c>
    </x:row>
    <x:row r="168">
      <x:c r="A168" s="2" t="inlineStr">
        <x:is>
          <x:t xml:space="preserve">C-000167</x:t>
        </x:is>
      </x:c>
      <x:c r="B168" s="8" t="n">
        <x:v>46030.15761975694</x:v>
      </x:c>
      <x:c r="C168" s="2" t="inlineStr">
        <x:is>
          <x:t xml:space="preserve">FULL_STACK_FEATURE_MATRIX</x:t>
        </x:is>
      </x:c>
      <x:c r="D168" s="2" t="inlineStr">
        <x:is>
          <x:t xml:space="preserve">F-025</x:t>
        </x:is>
      </x:c>
      <x:c r="E168" s="2" t="inlineStr">
        <x:is>
          <x:t xml:space="preserve">Last_Updated_At</x:t>
        </x:is>
      </x:c>
      <x:c r="F168" s="2" t="inlineStr">
        <x:is>
          <x:t xml:space="preserve"/>
        </x:is>
      </x:c>
      <x:c r="G168" s="2" t="inlineStr">
        <x:is>
          <x:t xml:space="preserve">2026-01-08 03:46:58</x:t>
        </x:is>
      </x:c>
      <x:c r="H168" s="2" t="inlineStr">
        <x:is>
          <x:t xml:space="preserve">Timestamp tracking added.</x:t>
        </x:is>
      </x:c>
      <x:c r="I168" s="2" t="inlineStr">
        <x:is>
          <x:t xml:space="preserve">PDF SECTION 6 item 13 + Mobile Merchant capability table</x:t>
        </x:is>
      </x:c>
    </x:row>
    <x:row r="169">
      <x:c r="A169" s="2" t="inlineStr">
        <x:is>
          <x:t xml:space="preserve">C-000168</x:t>
        </x:is>
      </x:c>
      <x:c r="B169" s="8" t="n">
        <x:v>46030.15761975694</x:v>
      </x:c>
      <x:c r="C169" s="2" t="inlineStr">
        <x:is>
          <x:t xml:space="preserve">FULL_STACK_FEATURE_MATRIX</x:t>
        </x:is>
      </x:c>
      <x:c r="D169" s="2" t="inlineStr">
        <x:is>
          <x:t xml:space="preserve">F-025</x:t>
        </x:is>
      </x:c>
      <x:c r="E169" s="2" t="inlineStr">
        <x:is>
          <x:t xml:space="preserve">Last_Updated_By</x:t>
        </x:is>
      </x:c>
      <x:c r="F169" s="2" t="inlineStr">
        <x:is>
          <x:t xml:space="preserve"/>
        </x:is>
      </x:c>
      <x:c r="G169" s="2" t="inlineStr">
        <x:is>
          <x:t xml:space="preserve">ChatGPT</x:t>
        </x:is>
      </x:c>
      <x:c r="H169" s="2" t="inlineStr">
        <x:is>
          <x:t xml:space="preserve">Timestamp tracking added.</x:t>
        </x:is>
      </x:c>
      <x:c r="I169" s="2" t="inlineStr">
        <x:is>
          <x:t xml:space="preserve">PDF SECTION 6 item 13 + Mobile Merchant capability table</x:t>
        </x:is>
      </x:c>
    </x:row>
    <x:row r="170">
      <x:c r="A170" s="2" t="inlineStr">
        <x:is>
          <x:t xml:space="preserve">C-000169</x:t>
        </x:is>
      </x:c>
      <x:c r="B170" s="8" t="n">
        <x:v>46030.15761975694</x:v>
      </x:c>
      <x:c r="C170" s="2" t="inlineStr">
        <x:is>
          <x:t xml:space="preserve">FULL_STACK_FEATURE_MATRIX</x:t>
        </x:is>
      </x:c>
      <x:c r="D170" s="2" t="inlineStr">
        <x:is>
          <x:t xml:space="preserve">F-025</x:t>
        </x:is>
      </x:c>
      <x:c r="E170" s="2" t="inlineStr">
        <x:is>
          <x:t xml:space="preserve">Evidence_Ref</x:t>
        </x:is>
      </x:c>
      <x:c r="F170" s="2" t="inlineStr">
        <x:is>
          <x:t xml:space="preserve"/>
        </x:is>
      </x:c>
      <x:c r="G170" s="2" t="inlineStr">
        <x:is>
          <x:t xml:space="preserve">PDF SECTION 6 item 13 + Mobile Merchant capability table</x:t>
        </x:is>
      </x:c>
      <x:c r="H170" s="2" t="inlineStr">
        <x:is>
          <x:t xml:space="preserve">Evidence tracking added.</x:t>
        </x:is>
      </x:c>
      <x:c r="I170" s="2" t="inlineStr">
        <x:is>
          <x:t xml:space="preserve">PDF SECTION 6 item 13 + Mobile Merchant capability table</x:t>
        </x:is>
      </x:c>
    </x:row>
    <x:row r="171">
      <x:c r="A171" s="2" t="inlineStr">
        <x:is>
          <x:t xml:space="preserve">C-000170</x:t>
        </x:is>
      </x:c>
      <x:c r="B171" s="8" t="n">
        <x:v>46030.15761975694</x:v>
      </x:c>
      <x:c r="C171" s="2" t="inlineStr">
        <x:is>
          <x:t xml:space="preserve">FULL_STACK_FEATURE_MATRIX</x:t>
        </x:is>
      </x:c>
      <x:c r="D171" s="2" t="inlineStr">
        <x:is>
          <x:t xml:space="preserve">F-026</x:t>
        </x:is>
      </x:c>
      <x:c r="E171" s="2" t="inlineStr">
        <x:is>
          <x:t xml:space="preserve">Mobile_Merchant_Completion_%</x:t>
        </x:is>
      </x:c>
      <x:c r="F171" s="2" t="inlineStr">
        <x:is>
          <x:t xml:space="preserve">30</x:t>
        </x:is>
      </x:c>
      <x:c r="G171" s="2" t="inlineStr">
        <x:is>
          <x:t xml:space="preserve">10</x:t>
        </x:is>
      </x:c>
      <x:c r="H171" s="2" t="inlineStr">
        <x:is>
          <x:t xml:space="preserve">Rebased to PDF brutal-evidence rules for this run.</x:t>
        </x:is>
      </x:c>
      <x:c r="I171" s="2" t="inlineStr">
        <x:is>
          <x:t xml:space="preserve">PDF Mobile Merchant capability table (branches partial) + SECTION 6 item 14 context</x:t>
        </x:is>
      </x:c>
    </x:row>
    <x:row r="172">
      <x:c r="A172" s="2" t="inlineStr">
        <x:is>
          <x:t xml:space="preserve">C-000171</x:t>
        </x:is>
      </x:c>
      <x:c r="B172" s="8" t="n">
        <x:v>46030.15761975694</x:v>
      </x:c>
      <x:c r="C172" s="2" t="inlineStr">
        <x:is>
          <x:t xml:space="preserve">FULL_STACK_FEATURE_MATRIX</x:t>
        </x:is>
      </x:c>
      <x:c r="D172" s="2" t="inlineStr">
        <x:is>
          <x:t xml:space="preserve">F-026</x:t>
        </x:is>
      </x:c>
      <x:c r="E172" s="2" t="inlineStr">
        <x:is>
          <x:t xml:space="preserve">Blocker_Description</x:t>
        </x:is>
      </x:c>
      <x:c r="F172" s="2" t="inlineStr">
        <x:is>
          <x:t xml:space="preserve">Schema supports; UI missing.</x:t>
        </x:is>
      </x:c>
      <x:c r="G172" s="2" t="inlineStr">
        <x:is>
          <x:t xml:space="preserve">Schema supports branches but no UI for switching/management.</x:t>
        </x:is>
      </x:c>
      <x:c r="H172" s="2" t="inlineStr">
        <x:is>
          <x:t xml:space="preserve">Rebased to PDF brutal-evidence rules for this run.</x:t>
        </x:is>
      </x:c>
      <x:c r="I172" s="2" t="inlineStr">
        <x:is>
          <x:t xml:space="preserve">PDF Mobile Merchant capability table (branches partial) + SECTION 6 item 14 context</x:t>
        </x:is>
      </x:c>
    </x:row>
    <x:row r="173">
      <x:c r="A173" s="2" t="inlineStr">
        <x:is>
          <x:t xml:space="preserve">C-000172</x:t>
        </x:is>
      </x:c>
      <x:c r="B173" s="8" t="n">
        <x:v>46030.15761975694</x:v>
      </x:c>
      <x:c r="C173" s="2" t="inlineStr">
        <x:is>
          <x:t xml:space="preserve">FULL_STACK_FEATURE_MATRIX</x:t>
        </x:is>
      </x:c>
      <x:c r="D173" s="2" t="inlineStr">
        <x:is>
          <x:t xml:space="preserve">F-026</x:t>
        </x:is>
      </x:c>
      <x:c r="E173" s="2" t="inlineStr">
        <x:is>
          <x:t xml:space="preserve">Estimated_Effort_Hours</x:t>
        </x:is>
      </x:c>
      <x:c r="F173" s="2" t="inlineStr">
        <x:is>
          <x:t xml:space="preserve">32</x:t>
        </x:is>
      </x:c>
      <x:c r="G173" s="2" t="inlineStr">
        <x:is>
          <x:t xml:space="preserve">24</x:t>
        </x:is>
      </x:c>
      <x:c r="H173" s="2" t="inlineStr">
        <x:is>
          <x:t xml:space="preserve">Rebased to PDF brutal-evidence rules for this run.</x:t>
        </x:is>
      </x:c>
      <x:c r="I173" s="2" t="inlineStr">
        <x:is>
          <x:t xml:space="preserve">PDF Mobile Merchant capability table (branches partial) + SECTION 6 item 14 context</x:t>
        </x:is>
      </x:c>
    </x:row>
    <x:row r="174">
      <x:c r="A174" s="2" t="inlineStr">
        <x:is>
          <x:t xml:space="preserve">C-000173</x:t>
        </x:is>
      </x:c>
      <x:c r="B174" s="8" t="n">
        <x:v>46030.15761975694</x:v>
      </x:c>
      <x:c r="C174" s="2" t="inlineStr">
        <x:is>
          <x:t xml:space="preserve">FULL_STACK_FEATURE_MATRIX</x:t>
        </x:is>
      </x:c>
      <x:c r="D174" s="2" t="inlineStr">
        <x:is>
          <x:t xml:space="preserve">F-026</x:t>
        </x:is>
      </x:c>
      <x:c r="E174" s="2" t="inlineStr">
        <x:is>
          <x:t xml:space="preserve">Execution_Order</x:t>
        </x:is>
      </x:c>
      <x:c r="F174" s="2" t="inlineStr">
        <x:is>
          <x:t xml:space="preserve">26</x:t>
        </x:is>
      </x:c>
      <x:c r="G174" s="2" t="inlineStr">
        <x:is>
          <x:t xml:space="preserve">36</x:t>
        </x:is>
      </x:c>
      <x:c r="H174" s="2" t="inlineStr">
        <x:is>
          <x:t xml:space="preserve">Rebased to PDF brutal-evidence rules for this run.</x:t>
        </x:is>
      </x:c>
      <x:c r="I174" s="2" t="inlineStr">
        <x:is>
          <x:t xml:space="preserve">PDF Mobile Merchant capability table (branches partial) + SECTION 6 item 14 context</x:t>
        </x:is>
      </x:c>
    </x:row>
    <x:row r="175">
      <x:c r="A175" s="2" t="inlineStr">
        <x:is>
          <x:t xml:space="preserve">C-000174</x:t>
        </x:is>
      </x:c>
      <x:c r="B175" s="8" t="n">
        <x:v>46030.15761975694</x:v>
      </x:c>
      <x:c r="C175" s="2" t="inlineStr">
        <x:is>
          <x:t xml:space="preserve">FULL_STACK_FEATURE_MATRIX</x:t>
        </x:is>
      </x:c>
      <x:c r="D175" s="2" t="inlineStr">
        <x:is>
          <x:t xml:space="preserve">F-026</x:t>
        </x:is>
      </x:c>
      <x:c r="E175" s="2" t="inlineStr">
        <x:is>
          <x:t xml:space="preserve">Last_Updated_At</x:t>
        </x:is>
      </x:c>
      <x:c r="F175" s="2" t="inlineStr">
        <x:is>
          <x:t xml:space="preserve"/>
        </x:is>
      </x:c>
      <x:c r="G175" s="2" t="inlineStr">
        <x:is>
          <x:t xml:space="preserve">2026-01-08 03:46:58</x:t>
        </x:is>
      </x:c>
      <x:c r="H175" s="2" t="inlineStr">
        <x:is>
          <x:t xml:space="preserve">Timestamp tracking added.</x:t>
        </x:is>
      </x:c>
      <x:c r="I175" s="2" t="inlineStr">
        <x:is>
          <x:t xml:space="preserve">PDF Mobile Merchant capability table (branches partial) + SECTION 6 item 14 context</x:t>
        </x:is>
      </x:c>
    </x:row>
    <x:row r="176">
      <x:c r="A176" s="2" t="inlineStr">
        <x:is>
          <x:t xml:space="preserve">C-000175</x:t>
        </x:is>
      </x:c>
      <x:c r="B176" s="8" t="n">
        <x:v>46030.15761975694</x:v>
      </x:c>
      <x:c r="C176" s="2" t="inlineStr">
        <x:is>
          <x:t xml:space="preserve">FULL_STACK_FEATURE_MATRIX</x:t>
        </x:is>
      </x:c>
      <x:c r="D176" s="2" t="inlineStr">
        <x:is>
          <x:t xml:space="preserve">F-026</x:t>
        </x:is>
      </x:c>
      <x:c r="E176" s="2" t="inlineStr">
        <x:is>
          <x:t xml:space="preserve">Last_Updated_By</x:t>
        </x:is>
      </x:c>
      <x:c r="F176" s="2" t="inlineStr">
        <x:is>
          <x:t xml:space="preserve"/>
        </x:is>
      </x:c>
      <x:c r="G176" s="2" t="inlineStr">
        <x:is>
          <x:t xml:space="preserve">ChatGPT</x:t>
        </x:is>
      </x:c>
      <x:c r="H176" s="2" t="inlineStr">
        <x:is>
          <x:t xml:space="preserve">Timestamp tracking added.</x:t>
        </x:is>
      </x:c>
      <x:c r="I176" s="2" t="inlineStr">
        <x:is>
          <x:t xml:space="preserve">PDF Mobile Merchant capability table (branches partial) + SECTION 6 item 14 context</x:t>
        </x:is>
      </x:c>
    </x:row>
    <x:row r="177">
      <x:c r="A177" s="2" t="inlineStr">
        <x:is>
          <x:t xml:space="preserve">C-000176</x:t>
        </x:is>
      </x:c>
      <x:c r="B177" s="8" t="n">
        <x:v>46030.15761975694</x:v>
      </x:c>
      <x:c r="C177" s="2" t="inlineStr">
        <x:is>
          <x:t xml:space="preserve">FULL_STACK_FEATURE_MATRIX</x:t>
        </x:is>
      </x:c>
      <x:c r="D177" s="2" t="inlineStr">
        <x:is>
          <x:t xml:space="preserve">F-026</x:t>
        </x:is>
      </x:c>
      <x:c r="E177" s="2" t="inlineStr">
        <x:is>
          <x:t xml:space="preserve">Evidence_Ref</x:t>
        </x:is>
      </x:c>
      <x:c r="F177" s="2" t="inlineStr">
        <x:is>
          <x:t xml:space="preserve"/>
        </x:is>
      </x:c>
      <x:c r="G177" s="2" t="inlineStr">
        <x:is>
          <x:t xml:space="preserve">PDF Mobile Merchant capability table (branches partial) + SECTION 6 item 14 context</x:t>
        </x:is>
      </x:c>
      <x:c r="H177" s="2" t="inlineStr">
        <x:is>
          <x:t xml:space="preserve">Evidence tracking added.</x:t>
        </x:is>
      </x:c>
      <x:c r="I177" s="2" t="inlineStr">
        <x:is>
          <x:t xml:space="preserve">PDF Mobile Merchant capability table (branches partial) + SECTION 6 item 14 context</x:t>
        </x:is>
      </x:c>
    </x:row>
    <x:row r="178">
      <x:c r="A178" s="2" t="inlineStr">
        <x:is>
          <x:t xml:space="preserve">C-000177</x:t>
        </x:is>
      </x:c>
      <x:c r="B178" s="8" t="n">
        <x:v>46030.15761975694</x:v>
      </x:c>
      <x:c r="C178" s="2" t="inlineStr">
        <x:is>
          <x:t xml:space="preserve">FULL_STACK_FEATURE_MATRIX</x:t>
        </x:is>
      </x:c>
      <x:c r="D178" s="2" t="inlineStr">
        <x:is>
          <x:t xml:space="preserve">F-027</x:t>
        </x:is>
      </x:c>
      <x:c r="E178" s="2" t="inlineStr">
        <x:is>
          <x:t xml:space="preserve">Blocker_Description</x:t>
        </x:is>
      </x:c>
      <x:c r="F178" s="2" t="inlineStr">
        <x:is>
          <x:t xml:space="preserve">No Xcode project signing config; cannot submit to store.</x:t>
        </x:is>
      </x:c>
      <x:c r="G178" s="2" t="inlineStr">
        <x:is>
          <x:t xml:space="preserve">iOS signing missing; no Xcode config in ios/ folder.</x:t>
        </x:is>
      </x:c>
      <x:c r="H178" s="2" t="inlineStr">
        <x:is>
          <x:t xml:space="preserve">Rebased to PDF brutal-evidence rules for this run.</x:t>
        </x:is>
      </x:c>
      <x:c r="I178" s="2" t="inlineStr">
        <x:is>
          <x:t xml:space="preserve">PDF App Store Readiness table + SECTION 12 blocker 7</x:t>
        </x:is>
      </x:c>
    </x:row>
    <x:row r="179">
      <x:c r="A179" s="2" t="inlineStr">
        <x:is>
          <x:t xml:space="preserve">C-000178</x:t>
        </x:is>
      </x:c>
      <x:c r="B179" s="8" t="n">
        <x:v>46030.15761975694</x:v>
      </x:c>
      <x:c r="C179" s="2" t="inlineStr">
        <x:is>
          <x:t xml:space="preserve">FULL_STACK_FEATURE_MATRIX</x:t>
        </x:is>
      </x:c>
      <x:c r="D179" s="2" t="inlineStr">
        <x:is>
          <x:t xml:space="preserve">F-027</x:t>
        </x:is>
      </x:c>
      <x:c r="E179" s="2" t="inlineStr">
        <x:is>
          <x:t xml:space="preserve">Estimated_Effort_Hours</x:t>
        </x:is>
      </x:c>
      <x:c r="F179" s="2" t="inlineStr">
        <x:is>
          <x:t xml:space="preserve">56</x:t>
        </x:is>
      </x:c>
      <x:c r="G179" s="2" t="inlineStr">
        <x:is>
          <x:t xml:space="preserve">40</x:t>
        </x:is>
      </x:c>
      <x:c r="H179" s="2" t="inlineStr">
        <x:is>
          <x:t xml:space="preserve">Rebased to PDF brutal-evidence rules for this run.</x:t>
        </x:is>
      </x:c>
      <x:c r="I179" s="2" t="inlineStr">
        <x:is>
          <x:t xml:space="preserve">PDF App Store Readiness table + SECTION 12 blocker 7</x:t>
        </x:is>
      </x:c>
    </x:row>
    <x:row r="180">
      <x:c r="A180" s="2" t="inlineStr">
        <x:is>
          <x:t xml:space="preserve">C-000179</x:t>
        </x:is>
      </x:c>
      <x:c r="B180" s="8" t="n">
        <x:v>46030.15761975694</x:v>
      </x:c>
      <x:c r="C180" s="2" t="inlineStr">
        <x:is>
          <x:t xml:space="preserve">FULL_STACK_FEATURE_MATRIX</x:t>
        </x:is>
      </x:c>
      <x:c r="D180" s="2" t="inlineStr">
        <x:is>
          <x:t xml:space="preserve">F-027</x:t>
        </x:is>
      </x:c>
      <x:c r="E180" s="2" t="inlineStr">
        <x:is>
          <x:t xml:space="preserve">Execution_Order</x:t>
        </x:is>
      </x:c>
      <x:c r="F180" s="2" t="inlineStr">
        <x:is>
          <x:t xml:space="preserve">27</x:t>
        </x:is>
      </x:c>
      <x:c r="G180" s="2" t="inlineStr">
        <x:is>
          <x:t xml:space="preserve">6</x:t>
        </x:is>
      </x:c>
      <x:c r="H180" s="2" t="inlineStr">
        <x:is>
          <x:t xml:space="preserve">Rebased to PDF brutal-evidence rules for this run.</x:t>
        </x:is>
      </x:c>
      <x:c r="I180" s="2" t="inlineStr">
        <x:is>
          <x:t xml:space="preserve">PDF App Store Readiness table + SECTION 12 blocker 7</x:t>
        </x:is>
      </x:c>
    </x:row>
    <x:row r="181">
      <x:c r="A181" s="2" t="inlineStr">
        <x:is>
          <x:t xml:space="preserve">C-000180</x:t>
        </x:is>
      </x:c>
      <x:c r="B181" s="8" t="n">
        <x:v>46030.15761975694</x:v>
      </x:c>
      <x:c r="C181" s="2" t="inlineStr">
        <x:is>
          <x:t xml:space="preserve">FULL_STACK_FEATURE_MATRIX</x:t>
        </x:is>
      </x:c>
      <x:c r="D181" s="2" t="inlineStr">
        <x:is>
          <x:t xml:space="preserve">F-027</x:t>
        </x:is>
      </x:c>
      <x:c r="E181" s="2" t="inlineStr">
        <x:is>
          <x:t xml:space="preserve">Last_Updated_At</x:t>
        </x:is>
      </x:c>
      <x:c r="F181" s="2" t="inlineStr">
        <x:is>
          <x:t xml:space="preserve"/>
        </x:is>
      </x:c>
      <x:c r="G181" s="2" t="inlineStr">
        <x:is>
          <x:t xml:space="preserve">2026-01-08 03:46:58</x:t>
        </x:is>
      </x:c>
      <x:c r="H181" s="2" t="inlineStr">
        <x:is>
          <x:t xml:space="preserve">Timestamp tracking added.</x:t>
        </x:is>
      </x:c>
      <x:c r="I181" s="2" t="inlineStr">
        <x:is>
          <x:t xml:space="preserve">PDF App Store Readiness table + SECTION 12 blocker 7</x:t>
        </x:is>
      </x:c>
    </x:row>
    <x:row r="182">
      <x:c r="A182" s="2" t="inlineStr">
        <x:is>
          <x:t xml:space="preserve">C-000181</x:t>
        </x:is>
      </x:c>
      <x:c r="B182" s="8" t="n">
        <x:v>46030.15761975694</x:v>
      </x:c>
      <x:c r="C182" s="2" t="inlineStr">
        <x:is>
          <x:t xml:space="preserve">FULL_STACK_FEATURE_MATRIX</x:t>
        </x:is>
      </x:c>
      <x:c r="D182" s="2" t="inlineStr">
        <x:is>
          <x:t xml:space="preserve">F-027</x:t>
        </x:is>
      </x:c>
      <x:c r="E182" s="2" t="inlineStr">
        <x:is>
          <x:t xml:space="preserve">Last_Updated_By</x:t>
        </x:is>
      </x:c>
      <x:c r="F182" s="2" t="inlineStr">
        <x:is>
          <x:t xml:space="preserve"/>
        </x:is>
      </x:c>
      <x:c r="G182" s="2" t="inlineStr">
        <x:is>
          <x:t xml:space="preserve">ChatGPT</x:t>
        </x:is>
      </x:c>
      <x:c r="H182" s="2" t="inlineStr">
        <x:is>
          <x:t xml:space="preserve">Timestamp tracking added.</x:t>
        </x:is>
      </x:c>
      <x:c r="I182" s="2" t="inlineStr">
        <x:is>
          <x:t xml:space="preserve">PDF App Store Readiness table + SECTION 12 blocker 7</x:t>
        </x:is>
      </x:c>
    </x:row>
    <x:row r="183">
      <x:c r="A183" s="2" t="inlineStr">
        <x:is>
          <x:t xml:space="preserve">C-000182</x:t>
        </x:is>
      </x:c>
      <x:c r="B183" s="8" t="n">
        <x:v>46030.15761975694</x:v>
      </x:c>
      <x:c r="C183" s="2" t="inlineStr">
        <x:is>
          <x:t xml:space="preserve">FULL_STACK_FEATURE_MATRIX</x:t>
        </x:is>
      </x:c>
      <x:c r="D183" s="2" t="inlineStr">
        <x:is>
          <x:t xml:space="preserve">F-027</x:t>
        </x:is>
      </x:c>
      <x:c r="E183" s="2" t="inlineStr">
        <x:is>
          <x:t xml:space="preserve">Evidence_Ref</x:t>
        </x:is>
      </x:c>
      <x:c r="F183" s="2" t="inlineStr">
        <x:is>
          <x:t xml:space="preserve"/>
        </x:is>
      </x:c>
      <x:c r="G183" s="2" t="inlineStr">
        <x:is>
          <x:t xml:space="preserve">PDF App Store Readiness table + SECTION 12 blocker 7</x:t>
        </x:is>
      </x:c>
      <x:c r="H183" s="2" t="inlineStr">
        <x:is>
          <x:t xml:space="preserve">Evidence tracking added.</x:t>
        </x:is>
      </x:c>
      <x:c r="I183" s="2" t="inlineStr">
        <x:is>
          <x:t xml:space="preserve">PDF App Store Readiness table + SECTION 12 blocker 7</x:t>
        </x:is>
      </x:c>
    </x:row>
    <x:row r="184">
      <x:c r="A184" s="2" t="inlineStr">
        <x:is>
          <x:t xml:space="preserve">C-000183</x:t>
        </x:is>
      </x:c>
      <x:c r="B184" s="8" t="n">
        <x:v>46030.15761975694</x:v>
      </x:c>
      <x:c r="C184" s="2" t="inlineStr">
        <x:is>
          <x:t xml:space="preserve">FULL_STACK_FEATURE_MATRIX</x:t>
        </x:is>
      </x:c>
      <x:c r="D184" s="2" t="inlineStr">
        <x:is>
          <x:t xml:space="preserve">F-028</x:t>
        </x:is>
      </x:c>
      <x:c r="E184" s="2" t="inlineStr">
        <x:is>
          <x:t xml:space="preserve">Mobile_Customer_Completion_%</x:t>
        </x:is>
      </x:c>
      <x:c r="F184" s="2" t="inlineStr">
        <x:is>
          <x:t xml:space="preserve">40</x:t>
        </x:is>
      </x:c>
      <x:c r="G184" s="2" t="inlineStr">
        <x:is>
          <x:t xml:space="preserve">30</x:t>
        </x:is>
      </x:c>
      <x:c r="H184" s="2" t="inlineStr">
        <x:is>
          <x:t xml:space="preserve">Rebased to PDF brutal-evidence rules for this run.</x:t>
        </x:is>
      </x:c>
      <x:c r="I184" s="2" t="inlineStr">
        <x:is>
          <x:t xml:space="preserve">PDF App Store Readiness table + SECTION 12 blocker 7</x:t>
        </x:is>
      </x:c>
    </x:row>
    <x:row r="185">
      <x:c r="A185" s="2" t="inlineStr">
        <x:is>
          <x:t xml:space="preserve">C-000184</x:t>
        </x:is>
      </x:c>
      <x:c r="B185" s="8" t="n">
        <x:v>46030.15761975694</x:v>
      </x:c>
      <x:c r="C185" s="2" t="inlineStr">
        <x:is>
          <x:t xml:space="preserve">FULL_STACK_FEATURE_MATRIX</x:t>
        </x:is>
      </x:c>
      <x:c r="D185" s="2" t="inlineStr">
        <x:is>
          <x:t xml:space="preserve">F-028</x:t>
        </x:is>
      </x:c>
      <x:c r="E185" s="2" t="inlineStr">
        <x:is>
          <x:t xml:space="preserve">Mobile_Merchant_Completion_%</x:t>
        </x:is>
      </x:c>
      <x:c r="F185" s="2" t="inlineStr">
        <x:is>
          <x:t xml:space="preserve">40</x:t>
        </x:is>
      </x:c>
      <x:c r="G185" s="2" t="inlineStr">
        <x:is>
          <x:t xml:space="preserve">30</x:t>
        </x:is>
      </x:c>
      <x:c r="H185" s="2" t="inlineStr">
        <x:is>
          <x:t xml:space="preserve">Rebased to PDF brutal-evidence rules for this run.</x:t>
        </x:is>
      </x:c>
      <x:c r="I185" s="2" t="inlineStr">
        <x:is>
          <x:t xml:space="preserve">PDF App Store Readiness table + SECTION 12 blocker 7</x:t>
        </x:is>
      </x:c>
    </x:row>
    <x:row r="186">
      <x:c r="A186" s="2" t="inlineStr">
        <x:is>
          <x:t xml:space="preserve">C-000185</x:t>
        </x:is>
      </x:c>
      <x:c r="B186" s="8" t="n">
        <x:v>46030.15761975694</x:v>
      </x:c>
      <x:c r="C186" s="2" t="inlineStr">
        <x:is>
          <x:t xml:space="preserve">FULL_STACK_FEATURE_MATRIX</x:t>
        </x:is>
      </x:c>
      <x:c r="D186" s="2" t="inlineStr">
        <x:is>
          <x:t xml:space="preserve">F-028</x:t>
        </x:is>
      </x:c>
      <x:c r="E186" s="2" t="inlineStr">
        <x:is>
          <x:t xml:space="preserve">Blocker_Description</x:t>
        </x:is>
      </x:c>
      <x:c r="F186" s="2" t="inlineStr">
        <x:is>
          <x:t xml:space="preserve">build.gradle exists; keystore not configured.</x:t>
        </x:is>
      </x:c>
      <x:c r="G186" s="2" t="inlineStr">
        <x:is>
          <x:t xml:space="preserve">Android signing partial; keystore not configured.</x:t>
        </x:is>
      </x:c>
      <x:c r="H186" s="2" t="inlineStr">
        <x:is>
          <x:t xml:space="preserve">Rebased to PDF brutal-evidence rules for this run.</x:t>
        </x:is>
      </x:c>
      <x:c r="I186" s="2" t="inlineStr">
        <x:is>
          <x:t xml:space="preserve">PDF App Store Readiness table + SECTION 12 blocker 7</x:t>
        </x:is>
      </x:c>
    </x:row>
    <x:row r="187">
      <x:c r="A187" s="2" t="inlineStr">
        <x:is>
          <x:t xml:space="preserve">C-000186</x:t>
        </x:is>
      </x:c>
      <x:c r="B187" s="8" t="n">
        <x:v>46030.15761975694</x:v>
      </x:c>
      <x:c r="C187" s="2" t="inlineStr">
        <x:is>
          <x:t xml:space="preserve">FULL_STACK_FEATURE_MATRIX</x:t>
        </x:is>
      </x:c>
      <x:c r="D187" s="2" t="inlineStr">
        <x:is>
          <x:t xml:space="preserve">F-028</x:t>
        </x:is>
      </x:c>
      <x:c r="E187" s="2" t="inlineStr">
        <x:is>
          <x:t xml:space="preserve">Estimated_Effort_Hours</x:t>
        </x:is>
      </x:c>
      <x:c r="F187" s="2" t="inlineStr">
        <x:is>
          <x:t xml:space="preserve">24</x:t>
        </x:is>
      </x:c>
      <x:c r="G187" s="2" t="inlineStr">
        <x:is>
          <x:t xml:space="preserve">40</x:t>
        </x:is>
      </x:c>
      <x:c r="H187" s="2" t="inlineStr">
        <x:is>
          <x:t xml:space="preserve">Rebased to PDF brutal-evidence rules for this run.</x:t>
        </x:is>
      </x:c>
      <x:c r="I187" s="2" t="inlineStr">
        <x:is>
          <x:t xml:space="preserve">PDF App Store Readiness table + SECTION 12 blocker 7</x:t>
        </x:is>
      </x:c>
    </x:row>
    <x:row r="188">
      <x:c r="A188" s="2" t="inlineStr">
        <x:is>
          <x:t xml:space="preserve">C-000187</x:t>
        </x:is>
      </x:c>
      <x:c r="B188" s="8" t="n">
        <x:v>46030.15761975694</x:v>
      </x:c>
      <x:c r="C188" s="2" t="inlineStr">
        <x:is>
          <x:t xml:space="preserve">FULL_STACK_FEATURE_MATRIX</x:t>
        </x:is>
      </x:c>
      <x:c r="D188" s="2" t="inlineStr">
        <x:is>
          <x:t xml:space="preserve">F-028</x:t>
        </x:is>
      </x:c>
      <x:c r="E188" s="2" t="inlineStr">
        <x:is>
          <x:t xml:space="preserve">Execution_Order</x:t>
        </x:is>
      </x:c>
      <x:c r="F188" s="2" t="inlineStr">
        <x:is>
          <x:t xml:space="preserve">28</x:t>
        </x:is>
      </x:c>
      <x:c r="G188" s="2" t="inlineStr">
        <x:is>
          <x:t xml:space="preserve">7</x:t>
        </x:is>
      </x:c>
      <x:c r="H188" s="2" t="inlineStr">
        <x:is>
          <x:t xml:space="preserve">Rebased to PDF brutal-evidence rules for this run.</x:t>
        </x:is>
      </x:c>
      <x:c r="I188" s="2" t="inlineStr">
        <x:is>
          <x:t xml:space="preserve">PDF App Store Readiness table + SECTION 12 blocker 7</x:t>
        </x:is>
      </x:c>
    </x:row>
    <x:row r="189">
      <x:c r="A189" s="2" t="inlineStr">
        <x:is>
          <x:t xml:space="preserve">C-000188</x:t>
        </x:is>
      </x:c>
      <x:c r="B189" s="8" t="n">
        <x:v>46030.15761975694</x:v>
      </x:c>
      <x:c r="C189" s="2" t="inlineStr">
        <x:is>
          <x:t xml:space="preserve">FULL_STACK_FEATURE_MATRIX</x:t>
        </x:is>
      </x:c>
      <x:c r="D189" s="2" t="inlineStr">
        <x:is>
          <x:t xml:space="preserve">F-028</x:t>
        </x:is>
      </x:c>
      <x:c r="E189" s="2" t="inlineStr">
        <x:is>
          <x:t xml:space="preserve">Last_Updated_At</x:t>
        </x:is>
      </x:c>
      <x:c r="F189" s="2" t="inlineStr">
        <x:is>
          <x:t xml:space="preserve"/>
        </x:is>
      </x:c>
      <x:c r="G189" s="2" t="inlineStr">
        <x:is>
          <x:t xml:space="preserve">2026-01-08 03:46:58</x:t>
        </x:is>
      </x:c>
      <x:c r="H189" s="2" t="inlineStr">
        <x:is>
          <x:t xml:space="preserve">Timestamp tracking added.</x:t>
        </x:is>
      </x:c>
      <x:c r="I189" s="2" t="inlineStr">
        <x:is>
          <x:t xml:space="preserve">PDF App Store Readiness table + SECTION 12 blocker 7</x:t>
        </x:is>
      </x:c>
    </x:row>
    <x:row r="190">
      <x:c r="A190" s="2" t="inlineStr">
        <x:is>
          <x:t xml:space="preserve">C-000189</x:t>
        </x:is>
      </x:c>
      <x:c r="B190" s="8" t="n">
        <x:v>46030.15761975694</x:v>
      </x:c>
      <x:c r="C190" s="2" t="inlineStr">
        <x:is>
          <x:t xml:space="preserve">FULL_STACK_FEATURE_MATRIX</x:t>
        </x:is>
      </x:c>
      <x:c r="D190" s="2" t="inlineStr">
        <x:is>
          <x:t xml:space="preserve">F-028</x:t>
        </x:is>
      </x:c>
      <x:c r="E190" s="2" t="inlineStr">
        <x:is>
          <x:t xml:space="preserve">Last_Updated_By</x:t>
        </x:is>
      </x:c>
      <x:c r="F190" s="2" t="inlineStr">
        <x:is>
          <x:t xml:space="preserve"/>
        </x:is>
      </x:c>
      <x:c r="G190" s="2" t="inlineStr">
        <x:is>
          <x:t xml:space="preserve">ChatGPT</x:t>
        </x:is>
      </x:c>
      <x:c r="H190" s="2" t="inlineStr">
        <x:is>
          <x:t xml:space="preserve">Timestamp tracking added.</x:t>
        </x:is>
      </x:c>
      <x:c r="I190" s="2" t="inlineStr">
        <x:is>
          <x:t xml:space="preserve">PDF App Store Readiness table + SECTION 12 blocker 7</x:t>
        </x:is>
      </x:c>
    </x:row>
    <x:row r="191">
      <x:c r="A191" s="2" t="inlineStr">
        <x:is>
          <x:t xml:space="preserve">C-000190</x:t>
        </x:is>
      </x:c>
      <x:c r="B191" s="8" t="n">
        <x:v>46030.15761975694</x:v>
      </x:c>
      <x:c r="C191" s="2" t="inlineStr">
        <x:is>
          <x:t xml:space="preserve">FULL_STACK_FEATURE_MATRIX</x:t>
        </x:is>
      </x:c>
      <x:c r="D191" s="2" t="inlineStr">
        <x:is>
          <x:t xml:space="preserve">F-028</x:t>
        </x:is>
      </x:c>
      <x:c r="E191" s="2" t="inlineStr">
        <x:is>
          <x:t xml:space="preserve">Evidence_Ref</x:t>
        </x:is>
      </x:c>
      <x:c r="F191" s="2" t="inlineStr">
        <x:is>
          <x:t xml:space="preserve"/>
        </x:is>
      </x:c>
      <x:c r="G191" s="2" t="inlineStr">
        <x:is>
          <x:t xml:space="preserve">PDF App Store Readiness table + SECTION 12 blocker 7</x:t>
        </x:is>
      </x:c>
      <x:c r="H191" s="2" t="inlineStr">
        <x:is>
          <x:t xml:space="preserve">Evidence tracking added.</x:t>
        </x:is>
      </x:c>
      <x:c r="I191" s="2" t="inlineStr">
        <x:is>
          <x:t xml:space="preserve">PDF App Store Readiness table + SECTION 12 blocker 7</x:t>
        </x:is>
      </x:c>
    </x:row>
    <x:row r="192">
      <x:c r="A192" s="2" t="inlineStr">
        <x:is>
          <x:t xml:space="preserve">C-000191</x:t>
        </x:is>
      </x:c>
      <x:c r="B192" s="8" t="n">
        <x:v>46030.15761975694</x:v>
      </x:c>
      <x:c r="C192" s="2" t="inlineStr">
        <x:is>
          <x:t xml:space="preserve">FULL_STACK_FEATURE_MATRIX</x:t>
        </x:is>
      </x:c>
      <x:c r="D192" s="2" t="inlineStr">
        <x:is>
          <x:t xml:space="preserve">F-029</x:t>
        </x:is>
      </x:c>
      <x:c r="E192" s="2" t="inlineStr">
        <x:is>
          <x:t xml:space="preserve">Blocker_Description</x:t>
        </x:is>
      </x:c>
      <x:c r="F192" s="2" t="inlineStr">
        <x:is>
          <x:t xml:space="preserve">Privacy policy missing per report.</x:t>
        </x:is>
      </x:c>
      <x:c r="G192" s="2" t="inlineStr">
        <x:is>
          <x:t xml:space="preserve">Privacy policy not hosted/linked.</x:t>
        </x:is>
      </x:c>
      <x:c r="H192" s="2" t="inlineStr">
        <x:is>
          <x:t xml:space="preserve">Rebased to PDF brutal-evidence rules for this run.</x:t>
        </x:is>
      </x:c>
      <x:c r="I192" s="2" t="inlineStr">
        <x:is>
          <x:t xml:space="preserve">PDF App Store Readiness table</x:t>
        </x:is>
      </x:c>
    </x:row>
    <x:row r="193">
      <x:c r="A193" s="2" t="inlineStr">
        <x:is>
          <x:t xml:space="preserve">C-000192</x:t>
        </x:is>
      </x:c>
      <x:c r="B193" s="8" t="n">
        <x:v>46030.15761975694</x:v>
      </x:c>
      <x:c r="C193" s="2" t="inlineStr">
        <x:is>
          <x:t xml:space="preserve">FULL_STACK_FEATURE_MATRIX</x:t>
        </x:is>
      </x:c>
      <x:c r="D193" s="2" t="inlineStr">
        <x:is>
          <x:t xml:space="preserve">F-029</x:t>
        </x:is>
      </x:c>
      <x:c r="E193" s="2" t="inlineStr">
        <x:is>
          <x:t xml:space="preserve">Priority</x:t>
        </x:is>
      </x:c>
      <x:c r="F193" s="2" t="inlineStr">
        <x:is>
          <x:t xml:space="preserve">P1</x:t>
        </x:is>
      </x:c>
      <x:c r="G193" s="2" t="inlineStr">
        <x:is>
          <x:t xml:space="preserve">P2</x:t>
        </x:is>
      </x:c>
      <x:c r="H193" s="2" t="inlineStr">
        <x:is>
          <x:t xml:space="preserve">Rebased to PDF brutal-evidence rules for this run.</x:t>
        </x:is>
      </x:c>
      <x:c r="I193" s="2" t="inlineStr">
        <x:is>
          <x:t xml:space="preserve">PDF App Store Readiness table</x:t>
        </x:is>
      </x:c>
    </x:row>
    <x:row r="194">
      <x:c r="A194" s="2" t="inlineStr">
        <x:is>
          <x:t xml:space="preserve">C-000193</x:t>
        </x:is>
      </x:c>
      <x:c r="B194" s="8" t="n">
        <x:v>46030.15761975694</x:v>
      </x:c>
      <x:c r="C194" s="2" t="inlineStr">
        <x:is>
          <x:t xml:space="preserve">FULL_STACK_FEATURE_MATRIX</x:t>
        </x:is>
      </x:c>
      <x:c r="D194" s="2" t="inlineStr">
        <x:is>
          <x:t xml:space="preserve">F-029</x:t>
        </x:is>
      </x:c>
      <x:c r="E194" s="2" t="inlineStr">
        <x:is>
          <x:t xml:space="preserve">Execution_Order</x:t>
        </x:is>
      </x:c>
      <x:c r="F194" s="2" t="inlineStr">
        <x:is>
          <x:t xml:space="preserve">29</x:t>
        </x:is>
      </x:c>
      <x:c r="G194" s="2" t="inlineStr">
        <x:is>
          <x:t xml:space="preserve">37</x:t>
        </x:is>
      </x:c>
      <x:c r="H194" s="2" t="inlineStr">
        <x:is>
          <x:t xml:space="preserve">Rebased to PDF brutal-evidence rules for this run.</x:t>
        </x:is>
      </x:c>
      <x:c r="I194" s="2" t="inlineStr">
        <x:is>
          <x:t xml:space="preserve">PDF App Store Readiness table</x:t>
        </x:is>
      </x:c>
    </x:row>
    <x:row r="195">
      <x:c r="A195" s="2" t="inlineStr">
        <x:is>
          <x:t xml:space="preserve">C-000194</x:t>
        </x:is>
      </x:c>
      <x:c r="B195" s="8" t="n">
        <x:v>46030.15761975694</x:v>
      </x:c>
      <x:c r="C195" s="2" t="inlineStr">
        <x:is>
          <x:t xml:space="preserve">FULL_STACK_FEATURE_MATRIX</x:t>
        </x:is>
      </x:c>
      <x:c r="D195" s="2" t="inlineStr">
        <x:is>
          <x:t xml:space="preserve">F-029</x:t>
        </x:is>
      </x:c>
      <x:c r="E195" s="2" t="inlineStr">
        <x:is>
          <x:t xml:space="preserve">Last_Updated_At</x:t>
        </x:is>
      </x:c>
      <x:c r="F195" s="2" t="inlineStr">
        <x:is>
          <x:t xml:space="preserve"/>
        </x:is>
      </x:c>
      <x:c r="G195" s="2" t="inlineStr">
        <x:is>
          <x:t xml:space="preserve">2026-01-08 03:46:58</x:t>
        </x:is>
      </x:c>
      <x:c r="H195" s="2" t="inlineStr">
        <x:is>
          <x:t xml:space="preserve">Timestamp tracking added.</x:t>
        </x:is>
      </x:c>
      <x:c r="I195" s="2" t="inlineStr">
        <x:is>
          <x:t xml:space="preserve">PDF App Store Readiness table</x:t>
        </x:is>
      </x:c>
    </x:row>
    <x:row r="196">
      <x:c r="A196" s="2" t="inlineStr">
        <x:is>
          <x:t xml:space="preserve">C-000195</x:t>
        </x:is>
      </x:c>
      <x:c r="B196" s="8" t="n">
        <x:v>46030.15761975694</x:v>
      </x:c>
      <x:c r="C196" s="2" t="inlineStr">
        <x:is>
          <x:t xml:space="preserve">FULL_STACK_FEATURE_MATRIX</x:t>
        </x:is>
      </x:c>
      <x:c r="D196" s="2" t="inlineStr">
        <x:is>
          <x:t xml:space="preserve">F-029</x:t>
        </x:is>
      </x:c>
      <x:c r="E196" s="2" t="inlineStr">
        <x:is>
          <x:t xml:space="preserve">Last_Updated_By</x:t>
        </x:is>
      </x:c>
      <x:c r="F196" s="2" t="inlineStr">
        <x:is>
          <x:t xml:space="preserve"/>
        </x:is>
      </x:c>
      <x:c r="G196" s="2" t="inlineStr">
        <x:is>
          <x:t xml:space="preserve">ChatGPT</x:t>
        </x:is>
      </x:c>
      <x:c r="H196" s="2" t="inlineStr">
        <x:is>
          <x:t xml:space="preserve">Timestamp tracking added.</x:t>
        </x:is>
      </x:c>
      <x:c r="I196" s="2" t="inlineStr">
        <x:is>
          <x:t xml:space="preserve">PDF App Store Readiness table</x:t>
        </x:is>
      </x:c>
    </x:row>
    <x:row r="197">
      <x:c r="A197" s="2" t="inlineStr">
        <x:is>
          <x:t xml:space="preserve">C-000196</x:t>
        </x:is>
      </x:c>
      <x:c r="B197" s="8" t="n">
        <x:v>46030.15761975694</x:v>
      </x:c>
      <x:c r="C197" s="2" t="inlineStr">
        <x:is>
          <x:t xml:space="preserve">FULL_STACK_FEATURE_MATRIX</x:t>
        </x:is>
      </x:c>
      <x:c r="D197" s="2" t="inlineStr">
        <x:is>
          <x:t xml:space="preserve">F-029</x:t>
        </x:is>
      </x:c>
      <x:c r="E197" s="2" t="inlineStr">
        <x:is>
          <x:t xml:space="preserve">Evidence_Ref</x:t>
        </x:is>
      </x:c>
      <x:c r="F197" s="2" t="inlineStr">
        <x:is>
          <x:t xml:space="preserve"/>
        </x:is>
      </x:c>
      <x:c r="G197" s="2" t="inlineStr">
        <x:is>
          <x:t xml:space="preserve">PDF App Store Readiness table</x:t>
        </x:is>
      </x:c>
      <x:c r="H197" s="2" t="inlineStr">
        <x:is>
          <x:t xml:space="preserve">Evidence tracking added.</x:t>
        </x:is>
      </x:c>
      <x:c r="I197" s="2" t="inlineStr">
        <x:is>
          <x:t xml:space="preserve">PDF App Store Readiness table</x:t>
        </x:is>
      </x:c>
    </x:row>
    <x:row r="198">
      <x:c r="A198" s="2" t="inlineStr">
        <x:is>
          <x:t xml:space="preserve">C-000197</x:t>
        </x:is>
      </x:c>
      <x:c r="B198" s="8" t="n">
        <x:v>46030.15761975694</x:v>
      </x:c>
      <x:c r="C198" s="2" t="inlineStr">
        <x:is>
          <x:t xml:space="preserve">FULL_STACK_FEATURE_MATRIX</x:t>
        </x:is>
      </x:c>
      <x:c r="D198" s="2" t="inlineStr">
        <x:is>
          <x:t xml:space="preserve">F-030</x:t>
        </x:is>
      </x:c>
      <x:c r="E198" s="2" t="inlineStr">
        <x:is>
          <x:t xml:space="preserve">Blocker_Description</x:t>
        </x:is>
      </x:c>
      <x:c r="F198" s="2" t="inlineStr">
        <x:is>
          <x:t xml:space="preserve">Terms missing per report.</x:t>
        </x:is>
      </x:c>
      <x:c r="G198" s="2" t="inlineStr">
        <x:is>
          <x:t xml:space="preserve">Terms of service not hosted/linked.</x:t>
        </x:is>
      </x:c>
      <x:c r="H198" s="2" t="inlineStr">
        <x:is>
          <x:t xml:space="preserve">Rebased to PDF brutal-evidence rules for this run.</x:t>
        </x:is>
      </x:c>
      <x:c r="I198" s="2" t="inlineStr">
        <x:is>
          <x:t xml:space="preserve">PDF App Store Readiness table</x:t>
        </x:is>
      </x:c>
    </x:row>
    <x:row r="199">
      <x:c r="A199" s="2" t="inlineStr">
        <x:is>
          <x:t xml:space="preserve">C-000198</x:t>
        </x:is>
      </x:c>
      <x:c r="B199" s="8" t="n">
        <x:v>46030.15761975694</x:v>
      </x:c>
      <x:c r="C199" s="2" t="inlineStr">
        <x:is>
          <x:t xml:space="preserve">FULL_STACK_FEATURE_MATRIX</x:t>
        </x:is>
      </x:c>
      <x:c r="D199" s="2" t="inlineStr">
        <x:is>
          <x:t xml:space="preserve">F-030</x:t>
        </x:is>
      </x:c>
      <x:c r="E199" s="2" t="inlineStr">
        <x:is>
          <x:t xml:space="preserve">Priority</x:t>
        </x:is>
      </x:c>
      <x:c r="F199" s="2" t="inlineStr">
        <x:is>
          <x:t xml:space="preserve">P1</x:t>
        </x:is>
      </x:c>
      <x:c r="G199" s="2" t="inlineStr">
        <x:is>
          <x:t xml:space="preserve">P2</x:t>
        </x:is>
      </x:c>
      <x:c r="H199" s="2" t="inlineStr">
        <x:is>
          <x:t xml:space="preserve">Rebased to PDF brutal-evidence rules for this run.</x:t>
        </x:is>
      </x:c>
      <x:c r="I199" s="2" t="inlineStr">
        <x:is>
          <x:t xml:space="preserve">PDF App Store Readiness table</x:t>
        </x:is>
      </x:c>
    </x:row>
    <x:row r="200">
      <x:c r="A200" s="2" t="inlineStr">
        <x:is>
          <x:t xml:space="preserve">C-000199</x:t>
        </x:is>
      </x:c>
      <x:c r="B200" s="8" t="n">
        <x:v>46030.15761975694</x:v>
      </x:c>
      <x:c r="C200" s="2" t="inlineStr">
        <x:is>
          <x:t xml:space="preserve">FULL_STACK_FEATURE_MATRIX</x:t>
        </x:is>
      </x:c>
      <x:c r="D200" s="2" t="inlineStr">
        <x:is>
          <x:t xml:space="preserve">F-030</x:t>
        </x:is>
      </x:c>
      <x:c r="E200" s="2" t="inlineStr">
        <x:is>
          <x:t xml:space="preserve">Execution_Order</x:t>
        </x:is>
      </x:c>
      <x:c r="F200" s="2" t="inlineStr">
        <x:is>
          <x:t xml:space="preserve">30</x:t>
        </x:is>
      </x:c>
      <x:c r="G200" s="2" t="inlineStr">
        <x:is>
          <x:t xml:space="preserve">38</x:t>
        </x:is>
      </x:c>
      <x:c r="H200" s="2" t="inlineStr">
        <x:is>
          <x:t xml:space="preserve">Rebased to PDF brutal-evidence rules for this run.</x:t>
        </x:is>
      </x:c>
      <x:c r="I200" s="2" t="inlineStr">
        <x:is>
          <x:t xml:space="preserve">PDF App Store Readiness table</x:t>
        </x:is>
      </x:c>
    </x:row>
    <x:row r="201">
      <x:c r="A201" s="2" t="inlineStr">
        <x:is>
          <x:t xml:space="preserve">C-000200</x:t>
        </x:is>
      </x:c>
      <x:c r="B201" s="8" t="n">
        <x:v>46030.15761975694</x:v>
      </x:c>
      <x:c r="C201" s="2" t="inlineStr">
        <x:is>
          <x:t xml:space="preserve">FULL_STACK_FEATURE_MATRIX</x:t>
        </x:is>
      </x:c>
      <x:c r="D201" s="2" t="inlineStr">
        <x:is>
          <x:t xml:space="preserve">F-030</x:t>
        </x:is>
      </x:c>
      <x:c r="E201" s="2" t="inlineStr">
        <x:is>
          <x:t xml:space="preserve">Last_Updated_At</x:t>
        </x:is>
      </x:c>
      <x:c r="F201" s="2" t="inlineStr">
        <x:is>
          <x:t xml:space="preserve"/>
        </x:is>
      </x:c>
      <x:c r="G201" s="2" t="inlineStr">
        <x:is>
          <x:t xml:space="preserve">2026-01-08 03:46:58</x:t>
        </x:is>
      </x:c>
      <x:c r="H201" s="2" t="inlineStr">
        <x:is>
          <x:t xml:space="preserve">Timestamp tracking added.</x:t>
        </x:is>
      </x:c>
      <x:c r="I201" s="2" t="inlineStr">
        <x:is>
          <x:t xml:space="preserve">PDF App Store Readiness table</x:t>
        </x:is>
      </x:c>
    </x:row>
    <x:row r="202">
      <x:c r="A202" s="2" t="inlineStr">
        <x:is>
          <x:t xml:space="preserve">C-000201</x:t>
        </x:is>
      </x:c>
      <x:c r="B202" s="8" t="n">
        <x:v>46030.15761975694</x:v>
      </x:c>
      <x:c r="C202" s="2" t="inlineStr">
        <x:is>
          <x:t xml:space="preserve">FULL_STACK_FEATURE_MATRIX</x:t>
        </x:is>
      </x:c>
      <x:c r="D202" s="2" t="inlineStr">
        <x:is>
          <x:t xml:space="preserve">F-030</x:t>
        </x:is>
      </x:c>
      <x:c r="E202" s="2" t="inlineStr">
        <x:is>
          <x:t xml:space="preserve">Last_Updated_By</x:t>
        </x:is>
      </x:c>
      <x:c r="F202" s="2" t="inlineStr">
        <x:is>
          <x:t xml:space="preserve"/>
        </x:is>
      </x:c>
      <x:c r="G202" s="2" t="inlineStr">
        <x:is>
          <x:t xml:space="preserve">ChatGPT</x:t>
        </x:is>
      </x:c>
      <x:c r="H202" s="2" t="inlineStr">
        <x:is>
          <x:t xml:space="preserve">Timestamp tracking added.</x:t>
        </x:is>
      </x:c>
      <x:c r="I202" s="2" t="inlineStr">
        <x:is>
          <x:t xml:space="preserve">PDF App Store Readiness table</x:t>
        </x:is>
      </x:c>
    </x:row>
    <x:row r="203">
      <x:c r="A203" s="2" t="inlineStr">
        <x:is>
          <x:t xml:space="preserve">C-000202</x:t>
        </x:is>
      </x:c>
      <x:c r="B203" s="8" t="n">
        <x:v>46030.15761975694</x:v>
      </x:c>
      <x:c r="C203" s="2" t="inlineStr">
        <x:is>
          <x:t xml:space="preserve">FULL_STACK_FEATURE_MATRIX</x:t>
        </x:is>
      </x:c>
      <x:c r="D203" s="2" t="inlineStr">
        <x:is>
          <x:t xml:space="preserve">F-030</x:t>
        </x:is>
      </x:c>
      <x:c r="E203" s="2" t="inlineStr">
        <x:is>
          <x:t xml:space="preserve">Evidence_Ref</x:t>
        </x:is>
      </x:c>
      <x:c r="F203" s="2" t="inlineStr">
        <x:is>
          <x:t xml:space="preserve"/>
        </x:is>
      </x:c>
      <x:c r="G203" s="2" t="inlineStr">
        <x:is>
          <x:t xml:space="preserve">PDF App Store Readiness table</x:t>
        </x:is>
      </x:c>
      <x:c r="H203" s="2" t="inlineStr">
        <x:is>
          <x:t xml:space="preserve">Evidence tracking added.</x:t>
        </x:is>
      </x:c>
      <x:c r="I203" s="2" t="inlineStr">
        <x:is>
          <x:t xml:space="preserve">PDF App Store Readiness table</x:t>
        </x:is>
      </x:c>
    </x:row>
    <x:row r="204">
      <x:c r="A204" s="2" t="inlineStr">
        <x:is>
          <x:t xml:space="preserve">C-000203</x:t>
        </x:is>
      </x:c>
      <x:c r="B204" s="8" t="n">
        <x:v>46030.15761975694</x:v>
      </x:c>
      <x:c r="C204" s="2" t="inlineStr">
        <x:is>
          <x:t xml:space="preserve">FULL_STACK_FEATURE_MATRIX</x:t>
        </x:is>
      </x:c>
      <x:c r="D204" s="2" t="inlineStr">
        <x:is>
          <x:t xml:space="preserve">F-031</x:t>
        </x:is>
      </x:c>
      <x:c r="E204" s="2" t="inlineStr">
        <x:is>
          <x:t xml:space="preserve">Blocker_Description</x:t>
        </x:is>
      </x:c>
      <x:c r="F204" s="2" t="inlineStr">
        <x:is>
          <x:t xml:space="preserve">Function exists but disabled; not wired.</x:t>
        </x:is>
      </x:c>
      <x:c r="G204" s="2" t="inlineStr">
        <x:is>
          <x:t xml:space="preserve">Export function exists but disabled; no UI entry points.</x:t>
        </x:is>
      </x:c>
      <x:c r="H204" s="2" t="inlineStr">
        <x:is>
          <x:t xml:space="preserve">Rebased to PDF brutal-evidence rules for this run.</x:t>
        </x:is>
      </x:c>
      <x:c r="I204" s="2" t="inlineStr">
        <x:is>
          <x:t xml:space="preserve">PDF SECTION 6 item 9 + High-impact blocker 'No GDPR compliance UI'</x:t>
        </x:is>
      </x:c>
    </x:row>
    <x:row r="205">
      <x:c r="A205" s="2" t="inlineStr">
        <x:is>
          <x:t xml:space="preserve">C-000204</x:t>
        </x:is>
      </x:c>
      <x:c r="B205" s="8" t="n">
        <x:v>46030.15761975694</x:v>
      </x:c>
      <x:c r="C205" s="2" t="inlineStr">
        <x:is>
          <x:t xml:space="preserve">FULL_STACK_FEATURE_MATRIX</x:t>
        </x:is>
      </x:c>
      <x:c r="D205" s="2" t="inlineStr">
        <x:is>
          <x:t xml:space="preserve">F-031</x:t>
        </x:is>
      </x:c>
      <x:c r="E205" s="2" t="inlineStr">
        <x:is>
          <x:t xml:space="preserve">Execution_Order</x:t>
        </x:is>
      </x:c>
      <x:c r="F205" s="2" t="inlineStr">
        <x:is>
          <x:t xml:space="preserve">31</x:t>
        </x:is>
      </x:c>
      <x:c r="G205" s="2" t="inlineStr">
        <x:is>
          <x:t xml:space="preserve">14</x:t>
        </x:is>
      </x:c>
      <x:c r="H205" s="2" t="inlineStr">
        <x:is>
          <x:t xml:space="preserve">Rebased to PDF brutal-evidence rules for this run.</x:t>
        </x:is>
      </x:c>
      <x:c r="I205" s="2" t="inlineStr">
        <x:is>
          <x:t xml:space="preserve">PDF SECTION 6 item 9 + High-impact blocker 'No GDPR compliance UI'</x:t>
        </x:is>
      </x:c>
    </x:row>
    <x:row r="206">
      <x:c r="A206" s="2" t="inlineStr">
        <x:is>
          <x:t xml:space="preserve">C-000205</x:t>
        </x:is>
      </x:c>
      <x:c r="B206" s="8" t="n">
        <x:v>46030.15761975694</x:v>
      </x:c>
      <x:c r="C206" s="2" t="inlineStr">
        <x:is>
          <x:t xml:space="preserve">FULL_STACK_FEATURE_MATRIX</x:t>
        </x:is>
      </x:c>
      <x:c r="D206" s="2" t="inlineStr">
        <x:is>
          <x:t xml:space="preserve">F-031</x:t>
        </x:is>
      </x:c>
      <x:c r="E206" s="2" t="inlineStr">
        <x:is>
          <x:t xml:space="preserve">Last_Updated_At</x:t>
        </x:is>
      </x:c>
      <x:c r="F206" s="2" t="inlineStr">
        <x:is>
          <x:t xml:space="preserve"/>
        </x:is>
      </x:c>
      <x:c r="G206" s="2" t="inlineStr">
        <x:is>
          <x:t xml:space="preserve">2026-01-08 03:46:58</x:t>
        </x:is>
      </x:c>
      <x:c r="H206" s="2" t="inlineStr">
        <x:is>
          <x:t xml:space="preserve">Timestamp tracking added.</x:t>
        </x:is>
      </x:c>
      <x:c r="I206" s="2" t="inlineStr">
        <x:is>
          <x:t xml:space="preserve">PDF SECTION 6 item 9 + High-impact blocker 'No GDPR compliance UI'</x:t>
        </x:is>
      </x:c>
    </x:row>
    <x:row r="207">
      <x:c r="A207" s="2" t="inlineStr">
        <x:is>
          <x:t xml:space="preserve">C-000206</x:t>
        </x:is>
      </x:c>
      <x:c r="B207" s="8" t="n">
        <x:v>46030.15761975694</x:v>
      </x:c>
      <x:c r="C207" s="2" t="inlineStr">
        <x:is>
          <x:t xml:space="preserve">FULL_STACK_FEATURE_MATRIX</x:t>
        </x:is>
      </x:c>
      <x:c r="D207" s="2" t="inlineStr">
        <x:is>
          <x:t xml:space="preserve">F-031</x:t>
        </x:is>
      </x:c>
      <x:c r="E207" s="2" t="inlineStr">
        <x:is>
          <x:t xml:space="preserve">Last_Updated_By</x:t>
        </x:is>
      </x:c>
      <x:c r="F207" s="2" t="inlineStr">
        <x:is>
          <x:t xml:space="preserve"/>
        </x:is>
      </x:c>
      <x:c r="G207" s="2" t="inlineStr">
        <x:is>
          <x:t xml:space="preserve">ChatGPT</x:t>
        </x:is>
      </x:c>
      <x:c r="H207" s="2" t="inlineStr">
        <x:is>
          <x:t xml:space="preserve">Timestamp tracking added.</x:t>
        </x:is>
      </x:c>
      <x:c r="I207" s="2" t="inlineStr">
        <x:is>
          <x:t xml:space="preserve">PDF SECTION 6 item 9 + High-impact blocker 'No GDPR compliance UI'</x:t>
        </x:is>
      </x:c>
    </x:row>
    <x:row r="208">
      <x:c r="A208" s="2" t="inlineStr">
        <x:is>
          <x:t xml:space="preserve">C-000207</x:t>
        </x:is>
      </x:c>
      <x:c r="B208" s="8" t="n">
        <x:v>46030.15761975694</x:v>
      </x:c>
      <x:c r="C208" s="2" t="inlineStr">
        <x:is>
          <x:t xml:space="preserve">FULL_STACK_FEATURE_MATRIX</x:t>
        </x:is>
      </x:c>
      <x:c r="D208" s="2" t="inlineStr">
        <x:is>
          <x:t xml:space="preserve">F-031</x:t>
        </x:is>
      </x:c>
      <x:c r="E208" s="2" t="inlineStr">
        <x:is>
          <x:t xml:space="preserve">Evidence_Ref</x:t>
        </x:is>
      </x:c>
      <x:c r="F208" s="2" t="inlineStr">
        <x:is>
          <x:t xml:space="preserve"/>
        </x:is>
      </x:c>
      <x:c r="G208" s="2" t="inlineStr">
        <x:is>
          <x:t xml:space="preserve">PDF SECTION 6 item 9 + High-impact blocker 'No GDPR compliance UI'</x:t>
        </x:is>
      </x:c>
      <x:c r="H208" s="2" t="inlineStr">
        <x:is>
          <x:t xml:space="preserve">Evidence tracking added.</x:t>
        </x:is>
      </x:c>
      <x:c r="I208" s="2" t="inlineStr">
        <x:is>
          <x:t xml:space="preserve">PDF SECTION 6 item 9 + High-impact blocker 'No GDPR compliance UI'</x:t>
        </x:is>
      </x:c>
    </x:row>
    <x:row r="209">
      <x:c r="A209" s="2" t="inlineStr">
        <x:is>
          <x:t xml:space="preserve">C-000208</x:t>
        </x:is>
      </x:c>
      <x:c r="B209" s="8" t="n">
        <x:v>46030.15761975694</x:v>
      </x:c>
      <x:c r="C209" s="2" t="inlineStr">
        <x:is>
          <x:t xml:space="preserve">FULL_STACK_FEATURE_MATRIX</x:t>
        </x:is>
      </x:c>
      <x:c r="D209" s="2" t="inlineStr">
        <x:is>
          <x:t xml:space="preserve">F-032</x:t>
        </x:is>
      </x:c>
      <x:c r="E209" s="2" t="inlineStr">
        <x:is>
          <x:t xml:space="preserve">Blocker_Description</x:t>
        </x:is>
      </x:c>
      <x:c r="F209" s="2" t="inlineStr">
        <x:is>
          <x:t xml:space="preserve">Function exists but disabled; not wired.</x:t>
        </x:is>
      </x:c>
      <x:c r="G209" s="2" t="inlineStr">
        <x:is>
          <x:t xml:space="preserve">Deletion function exists but disabled; no UI entry points.</x:t>
        </x:is>
      </x:c>
      <x:c r="H209" s="2" t="inlineStr">
        <x:is>
          <x:t xml:space="preserve">Rebased to PDF brutal-evidence rules for this run.</x:t>
        </x:is>
      </x:c>
      <x:c r="I209" s="2" t="inlineStr">
        <x:is>
          <x:t xml:space="preserve">PDF SECTION 6 item 10 + High-impact blocker 'No GDPR compliance UI'</x:t>
        </x:is>
      </x:c>
    </x:row>
    <x:row r="210">
      <x:c r="A210" s="2" t="inlineStr">
        <x:is>
          <x:t xml:space="preserve">C-000209</x:t>
        </x:is>
      </x:c>
      <x:c r="B210" s="8" t="n">
        <x:v>46030.15761975694</x:v>
      </x:c>
      <x:c r="C210" s="2" t="inlineStr">
        <x:is>
          <x:t xml:space="preserve">FULL_STACK_FEATURE_MATRIX</x:t>
        </x:is>
      </x:c>
      <x:c r="D210" s="2" t="inlineStr">
        <x:is>
          <x:t xml:space="preserve">F-032</x:t>
        </x:is>
      </x:c>
      <x:c r="E210" s="2" t="inlineStr">
        <x:is>
          <x:t xml:space="preserve">Execution_Order</x:t>
        </x:is>
      </x:c>
      <x:c r="F210" s="2" t="inlineStr">
        <x:is>
          <x:t xml:space="preserve">32</x:t>
        </x:is>
      </x:c>
      <x:c r="G210" s="2" t="inlineStr">
        <x:is>
          <x:t xml:space="preserve">15</x:t>
        </x:is>
      </x:c>
      <x:c r="H210" s="2" t="inlineStr">
        <x:is>
          <x:t xml:space="preserve">Rebased to PDF brutal-evidence rules for this run.</x:t>
        </x:is>
      </x:c>
      <x:c r="I210" s="2" t="inlineStr">
        <x:is>
          <x:t xml:space="preserve">PDF SECTION 6 item 10 + High-impact blocker 'No GDPR compliance UI'</x:t>
        </x:is>
      </x:c>
    </x:row>
    <x:row r="211">
      <x:c r="A211" s="2" t="inlineStr">
        <x:is>
          <x:t xml:space="preserve">C-000210</x:t>
        </x:is>
      </x:c>
      <x:c r="B211" s="8" t="n">
        <x:v>46030.15761975694</x:v>
      </x:c>
      <x:c r="C211" s="2" t="inlineStr">
        <x:is>
          <x:t xml:space="preserve">FULL_STACK_FEATURE_MATRIX</x:t>
        </x:is>
      </x:c>
      <x:c r="D211" s="2" t="inlineStr">
        <x:is>
          <x:t xml:space="preserve">F-032</x:t>
        </x:is>
      </x:c>
      <x:c r="E211" s="2" t="inlineStr">
        <x:is>
          <x:t xml:space="preserve">Last_Updated_At</x:t>
        </x:is>
      </x:c>
      <x:c r="F211" s="2" t="inlineStr">
        <x:is>
          <x:t xml:space="preserve"/>
        </x:is>
      </x:c>
      <x:c r="G211" s="2" t="inlineStr">
        <x:is>
          <x:t xml:space="preserve">2026-01-08 03:46:58</x:t>
        </x:is>
      </x:c>
      <x:c r="H211" s="2" t="inlineStr">
        <x:is>
          <x:t xml:space="preserve">Timestamp tracking added.</x:t>
        </x:is>
      </x:c>
      <x:c r="I211" s="2" t="inlineStr">
        <x:is>
          <x:t xml:space="preserve">PDF SECTION 6 item 10 + High-impact blocker 'No GDPR compliance UI'</x:t>
        </x:is>
      </x:c>
    </x:row>
    <x:row r="212">
      <x:c r="A212" s="2" t="inlineStr">
        <x:is>
          <x:t xml:space="preserve">C-000211</x:t>
        </x:is>
      </x:c>
      <x:c r="B212" s="8" t="n">
        <x:v>46030.15761975694</x:v>
      </x:c>
      <x:c r="C212" s="2" t="inlineStr">
        <x:is>
          <x:t xml:space="preserve">FULL_STACK_FEATURE_MATRIX</x:t>
        </x:is>
      </x:c>
      <x:c r="D212" s="2" t="inlineStr">
        <x:is>
          <x:t xml:space="preserve">F-032</x:t>
        </x:is>
      </x:c>
      <x:c r="E212" s="2" t="inlineStr">
        <x:is>
          <x:t xml:space="preserve">Last_Updated_By</x:t>
        </x:is>
      </x:c>
      <x:c r="F212" s="2" t="inlineStr">
        <x:is>
          <x:t xml:space="preserve"/>
        </x:is>
      </x:c>
      <x:c r="G212" s="2" t="inlineStr">
        <x:is>
          <x:t xml:space="preserve">ChatGPT</x:t>
        </x:is>
      </x:c>
      <x:c r="H212" s="2" t="inlineStr">
        <x:is>
          <x:t xml:space="preserve">Timestamp tracking added.</x:t>
        </x:is>
      </x:c>
      <x:c r="I212" s="2" t="inlineStr">
        <x:is>
          <x:t xml:space="preserve">PDF SECTION 6 item 10 + High-impact blocker 'No GDPR compliance UI'</x:t>
        </x:is>
      </x:c>
    </x:row>
    <x:row r="213">
      <x:c r="A213" s="2" t="inlineStr">
        <x:is>
          <x:t xml:space="preserve">C-000212</x:t>
        </x:is>
      </x:c>
      <x:c r="B213" s="8" t="n">
        <x:v>46030.15761975694</x:v>
      </x:c>
      <x:c r="C213" s="2" t="inlineStr">
        <x:is>
          <x:t xml:space="preserve">FULL_STACK_FEATURE_MATRIX</x:t>
        </x:is>
      </x:c>
      <x:c r="D213" s="2" t="inlineStr">
        <x:is>
          <x:t xml:space="preserve">F-032</x:t>
        </x:is>
      </x:c>
      <x:c r="E213" s="2" t="inlineStr">
        <x:is>
          <x:t xml:space="preserve">Evidence_Ref</x:t>
        </x:is>
      </x:c>
      <x:c r="F213" s="2" t="inlineStr">
        <x:is>
          <x:t xml:space="preserve"/>
        </x:is>
      </x:c>
      <x:c r="G213" s="2" t="inlineStr">
        <x:is>
          <x:t xml:space="preserve">PDF SECTION 6 item 10 + High-impact blocker 'No GDPR compliance UI'</x:t>
        </x:is>
      </x:c>
      <x:c r="H213" s="2" t="inlineStr">
        <x:is>
          <x:t xml:space="preserve">Evidence tracking added.</x:t>
        </x:is>
      </x:c>
      <x:c r="I213" s="2" t="inlineStr">
        <x:is>
          <x:t xml:space="preserve">PDF SECTION 6 item 10 + High-impact blocker 'No GDPR compliance UI'</x:t>
        </x:is>
      </x:c>
    </x:row>
    <x:row r="214">
      <x:c r="A214" s="2" t="inlineStr">
        <x:is>
          <x:t xml:space="preserve">C-000213</x:t>
        </x:is>
      </x:c>
      <x:c r="B214" s="8" t="n">
        <x:v>46030.15761975694</x:v>
      </x:c>
      <x:c r="C214" s="2" t="inlineStr">
        <x:is>
          <x:t xml:space="preserve">FULL_STACK_FEATURE_MATRIX</x:t>
        </x:is>
      </x:c>
      <x:c r="D214" s="2" t="inlineStr">
        <x:is>
          <x:t xml:space="preserve">F-033</x:t>
        </x:is>
      </x:c>
      <x:c r="E214" s="2" t="inlineStr">
        <x:is>
          <x:t xml:space="preserve">Backend_Completion_%</x:t>
        </x:is>
      </x:c>
      <x:c r="F214" s="2" t="inlineStr">
        <x:is>
          <x:t xml:space="preserve">20</x:t>
        </x:is>
      </x:c>
      <x:c r="G214" s="2" t="inlineStr">
        <x:is>
          <x:t xml:space="preserve">10</x:t>
        </x:is>
      </x:c>
      <x:c r="H214" s="2" t="inlineStr">
        <x:is>
          <x:t xml:space="preserve">Rebased to PDF brutal-evidence rules for this run.</x:t>
        </x:is>
      </x:c>
      <x:c r="I214" s="2" t="inlineStr">
        <x:is>
          <x:t xml:space="preserve">PDF SECTION 6 item 7 + App Store Readiness table (crash reporting partial)</x:t>
        </x:is>
      </x:c>
    </x:row>
    <x:row r="215">
      <x:c r="A215" s="2" t="inlineStr">
        <x:is>
          <x:t xml:space="preserve">C-000214</x:t>
        </x:is>
      </x:c>
      <x:c r="B215" s="8" t="n">
        <x:v>46030.15761975694</x:v>
      </x:c>
      <x:c r="C215" s="2" t="inlineStr">
        <x:is>
          <x:t xml:space="preserve">FULL_STACK_FEATURE_MATRIX</x:t>
        </x:is>
      </x:c>
      <x:c r="D215" s="2" t="inlineStr">
        <x:is>
          <x:t xml:space="preserve">F-033</x:t>
        </x:is>
      </x:c>
      <x:c r="E215" s="2" t="inlineStr">
        <x:is>
          <x:t xml:space="preserve">Mobile_Customer_Status</x:t>
        </x:is>
      </x:c>
      <x:c r="F215" s="2" t="inlineStr">
        <x:is>
          <x:t xml:space="preserve">Not Started</x:t>
        </x:is>
      </x:c>
      <x:c r="G215" s="2" t="inlineStr">
        <x:is>
          <x:t xml:space="preserve">Partial</x:t>
        </x:is>
      </x:c>
      <x:c r="H215" s="2" t="inlineStr">
        <x:is>
          <x:t xml:space="preserve">Rebased to PDF brutal-evidence rules for this run.</x:t>
        </x:is>
      </x:c>
      <x:c r="I215" s="2" t="inlineStr">
        <x:is>
          <x:t xml:space="preserve">PDF SECTION 6 item 7 + App Store Readiness table (crash reporting partial)</x:t>
        </x:is>
      </x:c>
    </x:row>
    <x:row r="216">
      <x:c r="A216" s="2" t="inlineStr">
        <x:is>
          <x:t xml:space="preserve">C-000215</x:t>
        </x:is>
      </x:c>
      <x:c r="B216" s="8" t="n">
        <x:v>46030.15761975694</x:v>
      </x:c>
      <x:c r="C216" s="2" t="inlineStr">
        <x:is>
          <x:t xml:space="preserve">FULL_STACK_FEATURE_MATRIX</x:t>
        </x:is>
      </x:c>
      <x:c r="D216" s="2" t="inlineStr">
        <x:is>
          <x:t xml:space="preserve">F-033</x:t>
        </x:is>
      </x:c>
      <x:c r="E216" s="2" t="inlineStr">
        <x:is>
          <x:t xml:space="preserve">Mobile_Customer_Completion_%</x:t>
        </x:is>
      </x:c>
      <x:c r="F216" s="2" t="inlineStr">
        <x:is>
          <x:t xml:space="preserve">0</x:t>
        </x:is>
      </x:c>
      <x:c r="G216" s="2" t="inlineStr">
        <x:is>
          <x:t xml:space="preserve">10</x:t>
        </x:is>
      </x:c>
      <x:c r="H216" s="2" t="inlineStr">
        <x:is>
          <x:t xml:space="preserve">Rebased to PDF brutal-evidence rules for this run.</x:t>
        </x:is>
      </x:c>
      <x:c r="I216" s="2" t="inlineStr">
        <x:is>
          <x:t xml:space="preserve">PDF SECTION 6 item 7 + App Store Readiness table (crash reporting partial)</x:t>
        </x:is>
      </x:c>
    </x:row>
    <x:row r="217">
      <x:c r="A217" s="2" t="inlineStr">
        <x:is>
          <x:t xml:space="preserve">C-000216</x:t>
        </x:is>
      </x:c>
      <x:c r="B217" s="8" t="n">
        <x:v>46030.15761975694</x:v>
      </x:c>
      <x:c r="C217" s="2" t="inlineStr">
        <x:is>
          <x:t xml:space="preserve">FULL_STACK_FEATURE_MATRIX</x:t>
        </x:is>
      </x:c>
      <x:c r="D217" s="2" t="inlineStr">
        <x:is>
          <x:t xml:space="preserve">F-033</x:t>
        </x:is>
      </x:c>
      <x:c r="E217" s="2" t="inlineStr">
        <x:is>
          <x:t xml:space="preserve">Mobile_Merchant_Status</x:t>
        </x:is>
      </x:c>
      <x:c r="F217" s="2" t="inlineStr">
        <x:is>
          <x:t xml:space="preserve">Not Started</x:t>
        </x:is>
      </x:c>
      <x:c r="G217" s="2" t="inlineStr">
        <x:is>
          <x:t xml:space="preserve">Partial</x:t>
        </x:is>
      </x:c>
      <x:c r="H217" s="2" t="inlineStr">
        <x:is>
          <x:t xml:space="preserve">Rebased to PDF brutal-evidence rules for this run.</x:t>
        </x:is>
      </x:c>
      <x:c r="I217" s="2" t="inlineStr">
        <x:is>
          <x:t xml:space="preserve">PDF SECTION 6 item 7 + App Store Readiness table (crash reporting partial)</x:t>
        </x:is>
      </x:c>
    </x:row>
    <x:row r="218">
      <x:c r="A218" s="2" t="inlineStr">
        <x:is>
          <x:t xml:space="preserve">C-000217</x:t>
        </x:is>
      </x:c>
      <x:c r="B218" s="8" t="n">
        <x:v>46030.15761975694</x:v>
      </x:c>
      <x:c r="C218" s="2" t="inlineStr">
        <x:is>
          <x:t xml:space="preserve">FULL_STACK_FEATURE_MATRIX</x:t>
        </x:is>
      </x:c>
      <x:c r="D218" s="2" t="inlineStr">
        <x:is>
          <x:t xml:space="preserve">F-033</x:t>
        </x:is>
      </x:c>
      <x:c r="E218" s="2" t="inlineStr">
        <x:is>
          <x:t xml:space="preserve">Mobile_Merchant_Completion_%</x:t>
        </x:is>
      </x:c>
      <x:c r="F218" s="2" t="inlineStr">
        <x:is>
          <x:t xml:space="preserve">0</x:t>
        </x:is>
      </x:c>
      <x:c r="G218" s="2" t="inlineStr">
        <x:is>
          <x:t xml:space="preserve">10</x:t>
        </x:is>
      </x:c>
      <x:c r="H218" s="2" t="inlineStr">
        <x:is>
          <x:t xml:space="preserve">Rebased to PDF brutal-evidence rules for this run.</x:t>
        </x:is>
      </x:c>
      <x:c r="I218" s="2" t="inlineStr">
        <x:is>
          <x:t xml:space="preserve">PDF SECTION 6 item 7 + App Store Readiness table (crash reporting partial)</x:t>
        </x:is>
      </x:c>
    </x:row>
    <x:row r="219">
      <x:c r="A219" s="2" t="inlineStr">
        <x:is>
          <x:t xml:space="preserve">C-000218</x:t>
        </x:is>
      </x:c>
      <x:c r="B219" s="8" t="n">
        <x:v>46030.15761975694</x:v>
      </x:c>
      <x:c r="C219" s="2" t="inlineStr">
        <x:is>
          <x:t xml:space="preserve">FULL_STACK_FEATURE_MATRIX</x:t>
        </x:is>
      </x:c>
      <x:c r="D219" s="2" t="inlineStr">
        <x:is>
          <x:t xml:space="preserve">F-033</x:t>
        </x:is>
      </x:c>
      <x:c r="E219" s="2" t="inlineStr">
        <x:is>
          <x:t xml:space="preserve">Blocker_Description</x:t>
        </x:is>
      </x:c>
      <x:c r="F219" s="2" t="inlineStr">
        <x:is>
          <x:t xml:space="preserve">Sentry DSN checks exist but not configured; no alerting.</x:t>
        </x:is>
      </x:c>
      <x:c r="G219" s="2" t="inlineStr">
        <x:is>
          <x:t xml:space="preserve">Crash reporting checks exist but not configured; no alerting/monitoring.</x:t>
        </x:is>
      </x:c>
      <x:c r="H219" s="2" t="inlineStr">
        <x:is>
          <x:t xml:space="preserve">Rebased to PDF brutal-evidence rules for this run.</x:t>
        </x:is>
      </x:c>
      <x:c r="I219" s="2" t="inlineStr">
        <x:is>
          <x:t xml:space="preserve">PDF SECTION 6 item 7 + App Store Readiness table (crash reporting partial)</x:t>
        </x:is>
      </x:c>
    </x:row>
    <x:row r="220">
      <x:c r="A220" s="2" t="inlineStr">
        <x:is>
          <x:t xml:space="preserve">C-000219</x:t>
        </x:is>
      </x:c>
      <x:c r="B220" s="8" t="n">
        <x:v>46030.15761975694</x:v>
      </x:c>
      <x:c r="C220" s="2" t="inlineStr">
        <x:is>
          <x:t xml:space="preserve">FULL_STACK_FEATURE_MATRIX</x:t>
        </x:is>
      </x:c>
      <x:c r="D220" s="2" t="inlineStr">
        <x:is>
          <x:t xml:space="preserve">F-033</x:t>
        </x:is>
      </x:c>
      <x:c r="E220" s="2" t="inlineStr">
        <x:is>
          <x:t xml:space="preserve">Execution_Order</x:t>
        </x:is>
      </x:c>
      <x:c r="F220" s="2" t="inlineStr">
        <x:is>
          <x:t xml:space="preserve">33</x:t>
        </x:is>
      </x:c>
      <x:c r="G220" s="2" t="inlineStr">
        <x:is>
          <x:t xml:space="preserve">16</x:t>
        </x:is>
      </x:c>
      <x:c r="H220" s="2" t="inlineStr">
        <x:is>
          <x:t xml:space="preserve">Rebased to PDF brutal-evidence rules for this run.</x:t>
        </x:is>
      </x:c>
      <x:c r="I220" s="2" t="inlineStr">
        <x:is>
          <x:t xml:space="preserve">PDF SECTION 6 item 7 + App Store Readiness table (crash reporting partial)</x:t>
        </x:is>
      </x:c>
    </x:row>
    <x:row r="221">
      <x:c r="A221" s="2" t="inlineStr">
        <x:is>
          <x:t xml:space="preserve">C-000220</x:t>
        </x:is>
      </x:c>
      <x:c r="B221" s="8" t="n">
        <x:v>46030.15761975694</x:v>
      </x:c>
      <x:c r="C221" s="2" t="inlineStr">
        <x:is>
          <x:t xml:space="preserve">FULL_STACK_FEATURE_MATRIX</x:t>
        </x:is>
      </x:c>
      <x:c r="D221" s="2" t="inlineStr">
        <x:is>
          <x:t xml:space="preserve">F-033</x:t>
        </x:is>
      </x:c>
      <x:c r="E221" s="2" t="inlineStr">
        <x:is>
          <x:t xml:space="preserve">Last_Updated_At</x:t>
        </x:is>
      </x:c>
      <x:c r="F221" s="2" t="inlineStr">
        <x:is>
          <x:t xml:space="preserve"/>
        </x:is>
      </x:c>
      <x:c r="G221" s="2" t="inlineStr">
        <x:is>
          <x:t xml:space="preserve">2026-01-08 03:46:58</x:t>
        </x:is>
      </x:c>
      <x:c r="H221" s="2" t="inlineStr">
        <x:is>
          <x:t xml:space="preserve">Timestamp tracking added.</x:t>
        </x:is>
      </x:c>
      <x:c r="I221" s="2" t="inlineStr">
        <x:is>
          <x:t xml:space="preserve">PDF SECTION 6 item 7 + App Store Readiness table (crash reporting partial)</x:t>
        </x:is>
      </x:c>
    </x:row>
    <x:row r="222">
      <x:c r="A222" s="2" t="inlineStr">
        <x:is>
          <x:t xml:space="preserve">C-000221</x:t>
        </x:is>
      </x:c>
      <x:c r="B222" s="8" t="n">
        <x:v>46030.15761975694</x:v>
      </x:c>
      <x:c r="C222" s="2" t="inlineStr">
        <x:is>
          <x:t xml:space="preserve">FULL_STACK_FEATURE_MATRIX</x:t>
        </x:is>
      </x:c>
      <x:c r="D222" s="2" t="inlineStr">
        <x:is>
          <x:t xml:space="preserve">F-033</x:t>
        </x:is>
      </x:c>
      <x:c r="E222" s="2" t="inlineStr">
        <x:is>
          <x:t xml:space="preserve">Last_Updated_By</x:t>
        </x:is>
      </x:c>
      <x:c r="F222" s="2" t="inlineStr">
        <x:is>
          <x:t xml:space="preserve"/>
        </x:is>
      </x:c>
      <x:c r="G222" s="2" t="inlineStr">
        <x:is>
          <x:t xml:space="preserve">ChatGPT</x:t>
        </x:is>
      </x:c>
      <x:c r="H222" s="2" t="inlineStr">
        <x:is>
          <x:t xml:space="preserve">Timestamp tracking added.</x:t>
        </x:is>
      </x:c>
      <x:c r="I222" s="2" t="inlineStr">
        <x:is>
          <x:t xml:space="preserve">PDF SECTION 6 item 7 + App Store Readiness table (crash reporting partial)</x:t>
        </x:is>
      </x:c>
    </x:row>
    <x:row r="223">
      <x:c r="A223" s="2" t="inlineStr">
        <x:is>
          <x:t xml:space="preserve">C-000222</x:t>
        </x:is>
      </x:c>
      <x:c r="B223" s="8" t="n">
        <x:v>46030.15761975694</x:v>
      </x:c>
      <x:c r="C223" s="2" t="inlineStr">
        <x:is>
          <x:t xml:space="preserve">FULL_STACK_FEATURE_MATRIX</x:t>
        </x:is>
      </x:c>
      <x:c r="D223" s="2" t="inlineStr">
        <x:is>
          <x:t xml:space="preserve">F-033</x:t>
        </x:is>
      </x:c>
      <x:c r="E223" s="2" t="inlineStr">
        <x:is>
          <x:t xml:space="preserve">Evidence_Ref</x:t>
        </x:is>
      </x:c>
      <x:c r="F223" s="2" t="inlineStr">
        <x:is>
          <x:t xml:space="preserve"/>
        </x:is>
      </x:c>
      <x:c r="G223" s="2" t="inlineStr">
        <x:is>
          <x:t xml:space="preserve">PDF SECTION 6 item 7 + App Store Readiness table (crash reporting partial)</x:t>
        </x:is>
      </x:c>
      <x:c r="H223" s="2" t="inlineStr">
        <x:is>
          <x:t xml:space="preserve">Evidence tracking added.</x:t>
        </x:is>
      </x:c>
      <x:c r="I223" s="2" t="inlineStr">
        <x:is>
          <x:t xml:space="preserve">PDF SECTION 6 item 7 + App Store Readiness table (crash reporting partial)</x:t>
        </x:is>
      </x:c>
    </x:row>
    <x:row r="224">
      <x:c r="A224" s="2" t="inlineStr">
        <x:is>
          <x:t xml:space="preserve">C-000223</x:t>
        </x:is>
      </x:c>
      <x:c r="B224" s="8" t="n">
        <x:v>46030.15761975694</x:v>
      </x:c>
      <x:c r="C224" s="2" t="inlineStr">
        <x:is>
          <x:t xml:space="preserve">FULL_STACK_FEATURE_MATRIX</x:t>
        </x:is>
      </x:c>
      <x:c r="D224" s="2" t="inlineStr">
        <x:is>
          <x:t xml:space="preserve">F-034</x:t>
        </x:is>
      </x:c>
      <x:c r="E224" s="2" t="inlineStr">
        <x:is>
          <x:t xml:space="preserve">Backend_Status</x:t>
        </x:is>
      </x:c>
      <x:c r="F224" s="2" t="inlineStr">
        <x:is>
          <x:t xml:space="preserve">Partial</x:t>
        </x:is>
      </x:c>
      <x:c r="G224" s="2" t="inlineStr">
        <x:is>
          <x:t xml:space="preserve">Not Started</x:t>
        </x:is>
      </x:c>
      <x:c r="H224" s="2" t="inlineStr">
        <x:is>
          <x:t xml:space="preserve">Rebased to PDF brutal-evidence rules for this run.</x:t>
        </x:is>
      </x:c>
      <x:c r="I224" s="2" t="inlineStr">
        <x:is>
          <x:t xml:space="preserve">PDF SECTION 6 item 5 + High-impact blocker</x:t>
        </x:is>
      </x:c>
    </x:row>
    <x:row r="225">
      <x:c r="A225" s="2" t="inlineStr">
        <x:is>
          <x:t xml:space="preserve">C-000224</x:t>
        </x:is>
      </x:c>
      <x:c r="B225" s="8" t="n">
        <x:v>46030.15761975694</x:v>
      </x:c>
      <x:c r="C225" s="2" t="inlineStr">
        <x:is>
          <x:t xml:space="preserve">FULL_STACK_FEATURE_MATRIX</x:t>
        </x:is>
      </x:c>
      <x:c r="D225" s="2" t="inlineStr">
        <x:is>
          <x:t xml:space="preserve">F-034</x:t>
        </x:is>
      </x:c>
      <x:c r="E225" s="2" t="inlineStr">
        <x:is>
          <x:t xml:space="preserve">Backend_Completion_%</x:t>
        </x:is>
      </x:c>
      <x:c r="F225" s="2" t="inlineStr">
        <x:is>
          <x:t xml:space="preserve">30</x:t>
        </x:is>
      </x:c>
      <x:c r="G225" s="2" t="inlineStr">
        <x:is>
          <x:t xml:space="preserve">0</x:t>
        </x:is>
      </x:c>
      <x:c r="H225" s="2" t="inlineStr">
        <x:is>
          <x:t xml:space="preserve">Rebased to PDF brutal-evidence rules for this run.</x:t>
        </x:is>
      </x:c>
      <x:c r="I225" s="2" t="inlineStr">
        <x:is>
          <x:t xml:space="preserve">PDF SECTION 6 item 5 + High-impact blocker</x:t>
        </x:is>
      </x:c>
    </x:row>
    <x:row r="226">
      <x:c r="A226" s="2" t="inlineStr">
        <x:is>
          <x:t xml:space="preserve">C-000225</x:t>
        </x:is>
      </x:c>
      <x:c r="B226" s="8" t="n">
        <x:v>46030.15761975694</x:v>
      </x:c>
      <x:c r="C226" s="2" t="inlineStr">
        <x:is>
          <x:t xml:space="preserve">FULL_STACK_FEATURE_MATRIX</x:t>
        </x:is>
      </x:c>
      <x:c r="D226" s="2" t="inlineStr">
        <x:is>
          <x:t xml:space="preserve">F-034</x:t>
        </x:is>
      </x:c>
      <x:c r="E226" s="2" t="inlineStr">
        <x:is>
          <x:t xml:space="preserve">Blocker_Description</x:t>
        </x:is>
      </x:c>
      <x:c r="F226" s="2" t="inlineStr">
        <x:is>
          <x:t xml:space="preserve">Rate limiting code exists; not deployed in production rules.</x:t>
        </x:is>
      </x:c>
      <x:c r="G226" s="2" t="inlineStr">
        <x:is>
          <x:t xml:space="preserve">No rate limiting deployed.</x:t>
        </x:is>
      </x:c>
      <x:c r="H226" s="2" t="inlineStr">
        <x:is>
          <x:t xml:space="preserve">Rebased to PDF brutal-evidence rules for this run.</x:t>
        </x:is>
      </x:c>
      <x:c r="I226" s="2" t="inlineStr">
        <x:is>
          <x:t xml:space="preserve">PDF SECTION 6 item 5 + High-impact blocker</x:t>
        </x:is>
      </x:c>
    </x:row>
    <x:row r="227">
      <x:c r="A227" s="2" t="inlineStr">
        <x:is>
          <x:t xml:space="preserve">C-000226</x:t>
        </x:is>
      </x:c>
      <x:c r="B227" s="8" t="n">
        <x:v>46030.15761975694</x:v>
      </x:c>
      <x:c r="C227" s="2" t="inlineStr">
        <x:is>
          <x:t xml:space="preserve">FULL_STACK_FEATURE_MATRIX</x:t>
        </x:is>
      </x:c>
      <x:c r="D227" s="2" t="inlineStr">
        <x:is>
          <x:t xml:space="preserve">F-034</x:t>
        </x:is>
      </x:c>
      <x:c r="E227" s="2" t="inlineStr">
        <x:is>
          <x:t xml:space="preserve">Execution_Order</x:t>
        </x:is>
      </x:c>
      <x:c r="F227" s="2" t="inlineStr">
        <x:is>
          <x:t xml:space="preserve">34</x:t>
        </x:is>
      </x:c>
      <x:c r="G227" s="2" t="inlineStr">
        <x:is>
          <x:t xml:space="preserve">17</x:t>
        </x:is>
      </x:c>
      <x:c r="H227" s="2" t="inlineStr">
        <x:is>
          <x:t xml:space="preserve">Rebased to PDF brutal-evidence rules for this run.</x:t>
        </x:is>
      </x:c>
      <x:c r="I227" s="2" t="inlineStr">
        <x:is>
          <x:t xml:space="preserve">PDF SECTION 6 item 5 + High-impact blocker</x:t>
        </x:is>
      </x:c>
    </x:row>
    <x:row r="228">
      <x:c r="A228" s="2" t="inlineStr">
        <x:is>
          <x:t xml:space="preserve">C-000227</x:t>
        </x:is>
      </x:c>
      <x:c r="B228" s="8" t="n">
        <x:v>46030.15761975694</x:v>
      </x:c>
      <x:c r="C228" s="2" t="inlineStr">
        <x:is>
          <x:t xml:space="preserve">FULL_STACK_FEATURE_MATRIX</x:t>
        </x:is>
      </x:c>
      <x:c r="D228" s="2" t="inlineStr">
        <x:is>
          <x:t xml:space="preserve">F-034</x:t>
        </x:is>
      </x:c>
      <x:c r="E228" s="2" t="inlineStr">
        <x:is>
          <x:t xml:space="preserve">Last_Updated_At</x:t>
        </x:is>
      </x:c>
      <x:c r="F228" s="2" t="inlineStr">
        <x:is>
          <x:t xml:space="preserve"/>
        </x:is>
      </x:c>
      <x:c r="G228" s="2" t="inlineStr">
        <x:is>
          <x:t xml:space="preserve">2026-01-08 03:46:58</x:t>
        </x:is>
      </x:c>
      <x:c r="H228" s="2" t="inlineStr">
        <x:is>
          <x:t xml:space="preserve">Timestamp tracking added.</x:t>
        </x:is>
      </x:c>
      <x:c r="I228" s="2" t="inlineStr">
        <x:is>
          <x:t xml:space="preserve">PDF SECTION 6 item 5 + High-impact blocker</x:t>
        </x:is>
      </x:c>
    </x:row>
    <x:row r="229">
      <x:c r="A229" s="2" t="inlineStr">
        <x:is>
          <x:t xml:space="preserve">C-000228</x:t>
        </x:is>
      </x:c>
      <x:c r="B229" s="8" t="n">
        <x:v>46030.15761975694</x:v>
      </x:c>
      <x:c r="C229" s="2" t="inlineStr">
        <x:is>
          <x:t xml:space="preserve">FULL_STACK_FEATURE_MATRIX</x:t>
        </x:is>
      </x:c>
      <x:c r="D229" s="2" t="inlineStr">
        <x:is>
          <x:t xml:space="preserve">F-034</x:t>
        </x:is>
      </x:c>
      <x:c r="E229" s="2" t="inlineStr">
        <x:is>
          <x:t xml:space="preserve">Last_Updated_By</x:t>
        </x:is>
      </x:c>
      <x:c r="F229" s="2" t="inlineStr">
        <x:is>
          <x:t xml:space="preserve"/>
        </x:is>
      </x:c>
      <x:c r="G229" s="2" t="inlineStr">
        <x:is>
          <x:t xml:space="preserve">ChatGPT</x:t>
        </x:is>
      </x:c>
      <x:c r="H229" s="2" t="inlineStr">
        <x:is>
          <x:t xml:space="preserve">Timestamp tracking added.</x:t>
        </x:is>
      </x:c>
      <x:c r="I229" s="2" t="inlineStr">
        <x:is>
          <x:t xml:space="preserve">PDF SECTION 6 item 5 + High-impact blocker</x:t>
        </x:is>
      </x:c>
    </x:row>
    <x:row r="230">
      <x:c r="A230" s="2" t="inlineStr">
        <x:is>
          <x:t xml:space="preserve">C-000229</x:t>
        </x:is>
      </x:c>
      <x:c r="B230" s="8" t="n">
        <x:v>46030.15761975694</x:v>
      </x:c>
      <x:c r="C230" s="2" t="inlineStr">
        <x:is>
          <x:t xml:space="preserve">FULL_STACK_FEATURE_MATRIX</x:t>
        </x:is>
      </x:c>
      <x:c r="D230" s="2" t="inlineStr">
        <x:is>
          <x:t xml:space="preserve">F-034</x:t>
        </x:is>
      </x:c>
      <x:c r="E230" s="2" t="inlineStr">
        <x:is>
          <x:t xml:space="preserve">Evidence_Ref</x:t>
        </x:is>
      </x:c>
      <x:c r="F230" s="2" t="inlineStr">
        <x:is>
          <x:t xml:space="preserve"/>
        </x:is>
      </x:c>
      <x:c r="G230" s="2" t="inlineStr">
        <x:is>
          <x:t xml:space="preserve">PDF SECTION 6 item 5 + High-impact blocker</x:t>
        </x:is>
      </x:c>
      <x:c r="H230" s="2" t="inlineStr">
        <x:is>
          <x:t xml:space="preserve">Evidence tracking added.</x:t>
        </x:is>
      </x:c>
      <x:c r="I230" s="2" t="inlineStr">
        <x:is>
          <x:t xml:space="preserve">PDF SECTION 6 item 5 + High-impact blocker</x:t>
        </x:is>
      </x:c>
    </x:row>
    <x:row r="231">
      <x:c r="A231" s="2" t="inlineStr">
        <x:is>
          <x:t xml:space="preserve">C-000230</x:t>
        </x:is>
      </x:c>
      <x:c r="B231" s="8" t="n">
        <x:v>46030.15761975694</x:v>
      </x:c>
      <x:c r="C231" s="2" t="inlineStr">
        <x:is>
          <x:t xml:space="preserve">FULL_STACK_FEATURE_MATRIX</x:t>
        </x:is>
      </x:c>
      <x:c r="D231" s="2" t="inlineStr">
        <x:is>
          <x:t xml:space="preserve">F-035</x:t>
        </x:is>
      </x:c>
      <x:c r="E231" s="2" t="inlineStr">
        <x:is>
          <x:t xml:space="preserve">Blocker_Description</x:t>
        </x:is>
      </x:c>
      <x:c r="F231" s="2" t="inlineStr">
        <x:is>
          <x:t xml:space="preserve">Validation not enforced across all functions per report.</x:t>
        </x:is>
      </x:c>
      <x:c r="G231" s="2" t="inlineStr">
        <x:is>
          <x:t xml:space="preserve">Schemas exist but not enforced across functions (11/15 not enforced per PDF).</x:t>
        </x:is>
      </x:c>
      <x:c r="H231" s="2" t="inlineStr">
        <x:is>
          <x:t xml:space="preserve">Rebased to PDF brutal-evidence rules for this run.</x:t>
        </x:is>
      </x:c>
      <x:c r="I231" s="2" t="inlineStr">
        <x:is>
          <x:t xml:space="preserve">PDF SECTION 6 item 6 + High-impact blocker</x:t>
        </x:is>
      </x:c>
    </x:row>
    <x:row r="232">
      <x:c r="A232" s="2" t="inlineStr">
        <x:is>
          <x:t xml:space="preserve">C-000231</x:t>
        </x:is>
      </x:c>
      <x:c r="B232" s="8" t="n">
        <x:v>46030.15761975694</x:v>
      </x:c>
      <x:c r="C232" s="2" t="inlineStr">
        <x:is>
          <x:t xml:space="preserve">FULL_STACK_FEATURE_MATRIX</x:t>
        </x:is>
      </x:c>
      <x:c r="D232" s="2" t="inlineStr">
        <x:is>
          <x:t xml:space="preserve">F-035</x:t>
        </x:is>
      </x:c>
      <x:c r="E232" s="2" t="inlineStr">
        <x:is>
          <x:t xml:space="preserve">Execution_Order</x:t>
        </x:is>
      </x:c>
      <x:c r="F232" s="2" t="inlineStr">
        <x:is>
          <x:t xml:space="preserve">35</x:t>
        </x:is>
      </x:c>
      <x:c r="G232" s="2" t="inlineStr">
        <x:is>
          <x:t xml:space="preserve">18</x:t>
        </x:is>
      </x:c>
      <x:c r="H232" s="2" t="inlineStr">
        <x:is>
          <x:t xml:space="preserve">Rebased to PDF brutal-evidence rules for this run.</x:t>
        </x:is>
      </x:c>
      <x:c r="I232" s="2" t="inlineStr">
        <x:is>
          <x:t xml:space="preserve">PDF SECTION 6 item 6 + High-impact blocker</x:t>
        </x:is>
      </x:c>
    </x:row>
    <x:row r="233">
      <x:c r="A233" s="2" t="inlineStr">
        <x:is>
          <x:t xml:space="preserve">C-000232</x:t>
        </x:is>
      </x:c>
      <x:c r="B233" s="8" t="n">
        <x:v>46030.15761975694</x:v>
      </x:c>
      <x:c r="C233" s="2" t="inlineStr">
        <x:is>
          <x:t xml:space="preserve">FULL_STACK_FEATURE_MATRIX</x:t>
        </x:is>
      </x:c>
      <x:c r="D233" s="2" t="inlineStr">
        <x:is>
          <x:t xml:space="preserve">F-035</x:t>
        </x:is>
      </x:c>
      <x:c r="E233" s="2" t="inlineStr">
        <x:is>
          <x:t xml:space="preserve">Last_Updated_At</x:t>
        </x:is>
      </x:c>
      <x:c r="F233" s="2" t="inlineStr">
        <x:is>
          <x:t xml:space="preserve"/>
        </x:is>
      </x:c>
      <x:c r="G233" s="2" t="inlineStr">
        <x:is>
          <x:t xml:space="preserve">2026-01-08 03:46:58</x:t>
        </x:is>
      </x:c>
      <x:c r="H233" s="2" t="inlineStr">
        <x:is>
          <x:t xml:space="preserve">Timestamp tracking added.</x:t>
        </x:is>
      </x:c>
      <x:c r="I233" s="2" t="inlineStr">
        <x:is>
          <x:t xml:space="preserve">PDF SECTION 6 item 6 + High-impact blocker</x:t>
        </x:is>
      </x:c>
    </x:row>
    <x:row r="234">
      <x:c r="A234" s="2" t="inlineStr">
        <x:is>
          <x:t xml:space="preserve">C-000233</x:t>
        </x:is>
      </x:c>
      <x:c r="B234" s="8" t="n">
        <x:v>46030.15761975694</x:v>
      </x:c>
      <x:c r="C234" s="2" t="inlineStr">
        <x:is>
          <x:t xml:space="preserve">FULL_STACK_FEATURE_MATRIX</x:t>
        </x:is>
      </x:c>
      <x:c r="D234" s="2" t="inlineStr">
        <x:is>
          <x:t xml:space="preserve">F-035</x:t>
        </x:is>
      </x:c>
      <x:c r="E234" s="2" t="inlineStr">
        <x:is>
          <x:t xml:space="preserve">Last_Updated_By</x:t>
        </x:is>
      </x:c>
      <x:c r="F234" s="2" t="inlineStr">
        <x:is>
          <x:t xml:space="preserve"/>
        </x:is>
      </x:c>
      <x:c r="G234" s="2" t="inlineStr">
        <x:is>
          <x:t xml:space="preserve">ChatGPT</x:t>
        </x:is>
      </x:c>
      <x:c r="H234" s="2" t="inlineStr">
        <x:is>
          <x:t xml:space="preserve">Timestamp tracking added.</x:t>
        </x:is>
      </x:c>
      <x:c r="I234" s="2" t="inlineStr">
        <x:is>
          <x:t xml:space="preserve">PDF SECTION 6 item 6 + High-impact blocker</x:t>
        </x:is>
      </x:c>
    </x:row>
    <x:row r="235">
      <x:c r="A235" s="2" t="inlineStr">
        <x:is>
          <x:t xml:space="preserve">C-000234</x:t>
        </x:is>
      </x:c>
      <x:c r="B235" s="8" t="n">
        <x:v>46030.15761975694</x:v>
      </x:c>
      <x:c r="C235" s="2" t="inlineStr">
        <x:is>
          <x:t xml:space="preserve">FULL_STACK_FEATURE_MATRIX</x:t>
        </x:is>
      </x:c>
      <x:c r="D235" s="2" t="inlineStr">
        <x:is>
          <x:t xml:space="preserve">F-035</x:t>
        </x:is>
      </x:c>
      <x:c r="E235" s="2" t="inlineStr">
        <x:is>
          <x:t xml:space="preserve">Evidence_Ref</x:t>
        </x:is>
      </x:c>
      <x:c r="F235" s="2" t="inlineStr">
        <x:is>
          <x:t xml:space="preserve"/>
        </x:is>
      </x:c>
      <x:c r="G235" s="2" t="inlineStr">
        <x:is>
          <x:t xml:space="preserve">PDF SECTION 6 item 6 + High-impact blocker</x:t>
        </x:is>
      </x:c>
      <x:c r="H235" s="2" t="inlineStr">
        <x:is>
          <x:t xml:space="preserve">Evidence tracking added.</x:t>
        </x:is>
      </x:c>
      <x:c r="I235" s="2" t="inlineStr">
        <x:is>
          <x:t xml:space="preserve">PDF SECTION 6 item 6 + High-impact blocker</x:t>
        </x:is>
      </x:c>
    </x:row>
    <x:row r="236">
      <x:c r="A236" s="2" t="inlineStr">
        <x:is>
          <x:t xml:space="preserve">C-000235</x:t>
        </x:is>
      </x:c>
      <x:c r="B236" s="8" t="n">
        <x:v>46030.15761975694</x:v>
      </x:c>
      <x:c r="C236" s="2" t="inlineStr">
        <x:is>
          <x:t xml:space="preserve">FULL_STACK_FEATURE_MATRIX</x:t>
        </x:is>
      </x:c>
      <x:c r="D236" s="2" t="inlineStr">
        <x:is>
          <x:t xml:space="preserve">F-036</x:t>
        </x:is>
      </x:c>
      <x:c r="E236" s="2" t="inlineStr">
        <x:is>
          <x:t xml:space="preserve">Blocker_Description</x:t>
        </x:is>
      </x:c>
      <x:c r="F236" s="2" t="inlineStr">
        <x:is>
          <x:t xml:space="preserve">No audit log collection/UI.</x:t>
        </x:is>
      </x:c>
      <x:c r="G236" s="2" t="inlineStr">
        <x:is>
          <x:t xml:space="preserve">No audit log collection or admin view.</x:t>
        </x:is>
      </x:c>
      <x:c r="H236" s="2" t="inlineStr">
        <x:is>
          <x:t xml:space="preserve">Rebased to PDF brutal-evidence rules for this run.</x:t>
        </x:is>
      </x:c>
      <x:c r="I236" s="2" t="inlineStr">
        <x:is>
          <x:t xml:space="preserve">PDF High-impact blocker 'No audit logs'</x:t>
        </x:is>
      </x:c>
    </x:row>
    <x:row r="237">
      <x:c r="A237" s="2" t="inlineStr">
        <x:is>
          <x:t xml:space="preserve">C-000236</x:t>
        </x:is>
      </x:c>
      <x:c r="B237" s="8" t="n">
        <x:v>46030.15761975694</x:v>
      </x:c>
      <x:c r="C237" s="2" t="inlineStr">
        <x:is>
          <x:t xml:space="preserve">FULL_STACK_FEATURE_MATRIX</x:t>
        </x:is>
      </x:c>
      <x:c r="D237" s="2" t="inlineStr">
        <x:is>
          <x:t xml:space="preserve">F-036</x:t>
        </x:is>
      </x:c>
      <x:c r="E237" s="2" t="inlineStr">
        <x:is>
          <x:t xml:space="preserve">Estimated_Effort_Hours</x:t>
        </x:is>
      </x:c>
      <x:c r="F237" s="2" t="inlineStr">
        <x:is>
          <x:t xml:space="preserve">40</x:t>
        </x:is>
      </x:c>
      <x:c r="G237" s="2" t="inlineStr">
        <x:is>
          <x:t xml:space="preserve">80</x:t>
        </x:is>
      </x:c>
      <x:c r="H237" s="2" t="inlineStr">
        <x:is>
          <x:t xml:space="preserve">Rebased to PDF brutal-evidence rules for this run.</x:t>
        </x:is>
      </x:c>
      <x:c r="I237" s="2" t="inlineStr">
        <x:is>
          <x:t xml:space="preserve">PDF High-impact blocker 'No audit logs'</x:t>
        </x:is>
      </x:c>
    </x:row>
    <x:row r="238">
      <x:c r="A238" s="2" t="inlineStr">
        <x:is>
          <x:t xml:space="preserve">C-000237</x:t>
        </x:is>
      </x:c>
      <x:c r="B238" s="8" t="n">
        <x:v>46030.15761975694</x:v>
      </x:c>
      <x:c r="C238" s="2" t="inlineStr">
        <x:is>
          <x:t xml:space="preserve">FULL_STACK_FEATURE_MATRIX</x:t>
        </x:is>
      </x:c>
      <x:c r="D238" s="2" t="inlineStr">
        <x:is>
          <x:t xml:space="preserve">F-036</x:t>
        </x:is>
      </x:c>
      <x:c r="E238" s="2" t="inlineStr">
        <x:is>
          <x:t xml:space="preserve">Execution_Order</x:t>
        </x:is>
      </x:c>
      <x:c r="F238" s="2" t="inlineStr">
        <x:is>
          <x:t xml:space="preserve">36</x:t>
        </x:is>
      </x:c>
      <x:c r="G238" s="2" t="inlineStr">
        <x:is>
          <x:t xml:space="preserve">19</x:t>
        </x:is>
      </x:c>
      <x:c r="H238" s="2" t="inlineStr">
        <x:is>
          <x:t xml:space="preserve">Rebased to PDF brutal-evidence rules for this run.</x:t>
        </x:is>
      </x:c>
      <x:c r="I238" s="2" t="inlineStr">
        <x:is>
          <x:t xml:space="preserve">PDF High-impact blocker 'No audit logs'</x:t>
        </x:is>
      </x:c>
    </x:row>
    <x:row r="239">
      <x:c r="A239" s="2" t="inlineStr">
        <x:is>
          <x:t xml:space="preserve">C-000238</x:t>
        </x:is>
      </x:c>
      <x:c r="B239" s="8" t="n">
        <x:v>46030.15761975694</x:v>
      </x:c>
      <x:c r="C239" s="2" t="inlineStr">
        <x:is>
          <x:t xml:space="preserve">FULL_STACK_FEATURE_MATRIX</x:t>
        </x:is>
      </x:c>
      <x:c r="D239" s="2" t="inlineStr">
        <x:is>
          <x:t xml:space="preserve">F-036</x:t>
        </x:is>
      </x:c>
      <x:c r="E239" s="2" t="inlineStr">
        <x:is>
          <x:t xml:space="preserve">Last_Updated_At</x:t>
        </x:is>
      </x:c>
      <x:c r="F239" s="2" t="inlineStr">
        <x:is>
          <x:t xml:space="preserve"/>
        </x:is>
      </x:c>
      <x:c r="G239" s="2" t="inlineStr">
        <x:is>
          <x:t xml:space="preserve">2026-01-08 03:46:58</x:t>
        </x:is>
      </x:c>
      <x:c r="H239" s="2" t="inlineStr">
        <x:is>
          <x:t xml:space="preserve">Timestamp tracking added.</x:t>
        </x:is>
      </x:c>
      <x:c r="I239" s="2" t="inlineStr">
        <x:is>
          <x:t xml:space="preserve">PDF High-impact blocker 'No audit logs'</x:t>
        </x:is>
      </x:c>
    </x:row>
    <x:row r="240">
      <x:c r="A240" s="2" t="inlineStr">
        <x:is>
          <x:t xml:space="preserve">C-000239</x:t>
        </x:is>
      </x:c>
      <x:c r="B240" s="8" t="n">
        <x:v>46030.15761975694</x:v>
      </x:c>
      <x:c r="C240" s="2" t="inlineStr">
        <x:is>
          <x:t xml:space="preserve">FULL_STACK_FEATURE_MATRIX</x:t>
        </x:is>
      </x:c>
      <x:c r="D240" s="2" t="inlineStr">
        <x:is>
          <x:t xml:space="preserve">F-036</x:t>
        </x:is>
      </x:c>
      <x:c r="E240" s="2" t="inlineStr">
        <x:is>
          <x:t xml:space="preserve">Last_Updated_By</x:t>
        </x:is>
      </x:c>
      <x:c r="F240" s="2" t="inlineStr">
        <x:is>
          <x:t xml:space="preserve"/>
        </x:is>
      </x:c>
      <x:c r="G240" s="2" t="inlineStr">
        <x:is>
          <x:t xml:space="preserve">ChatGPT</x:t>
        </x:is>
      </x:c>
      <x:c r="H240" s="2" t="inlineStr">
        <x:is>
          <x:t xml:space="preserve">Timestamp tracking added.</x:t>
        </x:is>
      </x:c>
      <x:c r="I240" s="2" t="inlineStr">
        <x:is>
          <x:t xml:space="preserve">PDF High-impact blocker 'No audit logs'</x:t>
        </x:is>
      </x:c>
    </x:row>
    <x:row r="241">
      <x:c r="A241" s="2" t="inlineStr">
        <x:is>
          <x:t xml:space="preserve">C-000240</x:t>
        </x:is>
      </x:c>
      <x:c r="B241" s="8" t="n">
        <x:v>46030.15761975694</x:v>
      </x:c>
      <x:c r="C241" s="2" t="inlineStr">
        <x:is>
          <x:t xml:space="preserve">FULL_STACK_FEATURE_MATRIX</x:t>
        </x:is>
      </x:c>
      <x:c r="D241" s="2" t="inlineStr">
        <x:is>
          <x:t xml:space="preserve">F-036</x:t>
        </x:is>
      </x:c>
      <x:c r="E241" s="2" t="inlineStr">
        <x:is>
          <x:t xml:space="preserve">Evidence_Ref</x:t>
        </x:is>
      </x:c>
      <x:c r="F241" s="2" t="inlineStr">
        <x:is>
          <x:t xml:space="preserve"/>
        </x:is>
      </x:c>
      <x:c r="G241" s="2" t="inlineStr">
        <x:is>
          <x:t xml:space="preserve">PDF High-impact blocker 'No audit logs'</x:t>
        </x:is>
      </x:c>
      <x:c r="H241" s="2" t="inlineStr">
        <x:is>
          <x:t xml:space="preserve">Evidence tracking added.</x:t>
        </x:is>
      </x:c>
      <x:c r="I241" s="2" t="inlineStr">
        <x:is>
          <x:t xml:space="preserve">PDF High-impact blocker 'No audit logs'</x:t>
        </x:is>
      </x:c>
    </x:row>
    <x:row r="242">
      <x:c r="A242" s="2" t="inlineStr">
        <x:is>
          <x:t xml:space="preserve">C-000241</x:t>
        </x:is>
      </x:c>
      <x:c r="B242" s="8" t="n">
        <x:v>46030.15761975694</x:v>
      </x:c>
      <x:c r="C242" s="2" t="inlineStr">
        <x:is>
          <x:t xml:space="preserve">FULL_STACK_FEATURE_MATRIX</x:t>
        </x:is>
      </x:c>
      <x:c r="D242" s="2" t="inlineStr">
        <x:is>
          <x:t xml:space="preserve">F-037</x:t>
        </x:is>
      </x:c>
      <x:c r="E242" s="2" t="inlineStr">
        <x:is>
          <x:t xml:space="preserve">Blocker_Description</x:t>
        </x:is>
      </x:c>
      <x:c r="F242" s="2" t="inlineStr">
        <x:is>
          <x:t xml:space="preserve">Manual script only; no scheduler.</x:t>
        </x:is>
      </x:c>
      <x:c r="G242" s="2" t="inlineStr">
        <x:is>
          <x:t xml:space="preserve">Manual script exists; no scheduler/automation.</x:t>
        </x:is>
      </x:c>
      <x:c r="H242" s="2" t="inlineStr">
        <x:is>
          <x:t xml:space="preserve">Rebased to PDF brutal-evidence rules for this run.</x:t>
        </x:is>
      </x:c>
      <x:c r="I242" s="2" t="inlineStr">
        <x:is>
          <x:t xml:space="preserve">PDF SECTION 6 item 8 + High-impact blocker</x:t>
        </x:is>
      </x:c>
    </x:row>
    <x:row r="243">
      <x:c r="A243" s="2" t="inlineStr">
        <x:is>
          <x:t xml:space="preserve">C-000242</x:t>
        </x:is>
      </x:c>
      <x:c r="B243" s="8" t="n">
        <x:v>46030.15761975694</x:v>
      </x:c>
      <x:c r="C243" s="2" t="inlineStr">
        <x:is>
          <x:t xml:space="preserve">FULL_STACK_FEATURE_MATRIX</x:t>
        </x:is>
      </x:c>
      <x:c r="D243" s="2" t="inlineStr">
        <x:is>
          <x:t xml:space="preserve">F-037</x:t>
        </x:is>
      </x:c>
      <x:c r="E243" s="2" t="inlineStr">
        <x:is>
          <x:t xml:space="preserve">Execution_Order</x:t>
        </x:is>
      </x:c>
      <x:c r="F243" s="2" t="inlineStr">
        <x:is>
          <x:t xml:space="preserve">37</x:t>
        </x:is>
      </x:c>
      <x:c r="G243" s="2" t="inlineStr">
        <x:is>
          <x:t xml:space="preserve">20</x:t>
        </x:is>
      </x:c>
      <x:c r="H243" s="2" t="inlineStr">
        <x:is>
          <x:t xml:space="preserve">Rebased to PDF brutal-evidence rules for this run.</x:t>
        </x:is>
      </x:c>
      <x:c r="I243" s="2" t="inlineStr">
        <x:is>
          <x:t xml:space="preserve">PDF SECTION 6 item 8 + High-impact blocker</x:t>
        </x:is>
      </x:c>
    </x:row>
    <x:row r="244">
      <x:c r="A244" s="2" t="inlineStr">
        <x:is>
          <x:t xml:space="preserve">C-000243</x:t>
        </x:is>
      </x:c>
      <x:c r="B244" s="8" t="n">
        <x:v>46030.15761975694</x:v>
      </x:c>
      <x:c r="C244" s="2" t="inlineStr">
        <x:is>
          <x:t xml:space="preserve">FULL_STACK_FEATURE_MATRIX</x:t>
        </x:is>
      </x:c>
      <x:c r="D244" s="2" t="inlineStr">
        <x:is>
          <x:t xml:space="preserve">F-037</x:t>
        </x:is>
      </x:c>
      <x:c r="E244" s="2" t="inlineStr">
        <x:is>
          <x:t xml:space="preserve">Last_Updated_At</x:t>
        </x:is>
      </x:c>
      <x:c r="F244" s="2" t="inlineStr">
        <x:is>
          <x:t xml:space="preserve"/>
        </x:is>
      </x:c>
      <x:c r="G244" s="2" t="inlineStr">
        <x:is>
          <x:t xml:space="preserve">2026-01-08 03:46:58</x:t>
        </x:is>
      </x:c>
      <x:c r="H244" s="2" t="inlineStr">
        <x:is>
          <x:t xml:space="preserve">Timestamp tracking added.</x:t>
        </x:is>
      </x:c>
      <x:c r="I244" s="2" t="inlineStr">
        <x:is>
          <x:t xml:space="preserve">PDF SECTION 6 item 8 + High-impact blocker</x:t>
        </x:is>
      </x:c>
    </x:row>
    <x:row r="245">
      <x:c r="A245" s="2" t="inlineStr">
        <x:is>
          <x:t xml:space="preserve">C-000244</x:t>
        </x:is>
      </x:c>
      <x:c r="B245" s="8" t="n">
        <x:v>46030.15761975694</x:v>
      </x:c>
      <x:c r="C245" s="2" t="inlineStr">
        <x:is>
          <x:t xml:space="preserve">FULL_STACK_FEATURE_MATRIX</x:t>
        </x:is>
      </x:c>
      <x:c r="D245" s="2" t="inlineStr">
        <x:is>
          <x:t xml:space="preserve">F-037</x:t>
        </x:is>
      </x:c>
      <x:c r="E245" s="2" t="inlineStr">
        <x:is>
          <x:t xml:space="preserve">Last_Updated_By</x:t>
        </x:is>
      </x:c>
      <x:c r="F245" s="2" t="inlineStr">
        <x:is>
          <x:t xml:space="preserve"/>
        </x:is>
      </x:c>
      <x:c r="G245" s="2" t="inlineStr">
        <x:is>
          <x:t xml:space="preserve">ChatGPT</x:t>
        </x:is>
      </x:c>
      <x:c r="H245" s="2" t="inlineStr">
        <x:is>
          <x:t xml:space="preserve">Timestamp tracking added.</x:t>
        </x:is>
      </x:c>
      <x:c r="I245" s="2" t="inlineStr">
        <x:is>
          <x:t xml:space="preserve">PDF SECTION 6 item 8 + High-impact blocker</x:t>
        </x:is>
      </x:c>
    </x:row>
    <x:row r="246">
      <x:c r="A246" s="2" t="inlineStr">
        <x:is>
          <x:t xml:space="preserve">C-000245</x:t>
        </x:is>
      </x:c>
      <x:c r="B246" s="8" t="n">
        <x:v>46030.15761975694</x:v>
      </x:c>
      <x:c r="C246" s="2" t="inlineStr">
        <x:is>
          <x:t xml:space="preserve">FULL_STACK_FEATURE_MATRIX</x:t>
        </x:is>
      </x:c>
      <x:c r="D246" s="2" t="inlineStr">
        <x:is>
          <x:t xml:space="preserve">F-037</x:t>
        </x:is>
      </x:c>
      <x:c r="E246" s="2" t="inlineStr">
        <x:is>
          <x:t xml:space="preserve">Evidence_Ref</x:t>
        </x:is>
      </x:c>
      <x:c r="F246" s="2" t="inlineStr">
        <x:is>
          <x:t xml:space="preserve"/>
        </x:is>
      </x:c>
      <x:c r="G246" s="2" t="inlineStr">
        <x:is>
          <x:t xml:space="preserve">PDF SECTION 6 item 8 + High-impact blocker</x:t>
        </x:is>
      </x:c>
      <x:c r="H246" s="2" t="inlineStr">
        <x:is>
          <x:t xml:space="preserve">Evidence tracking added.</x:t>
        </x:is>
      </x:c>
      <x:c r="I246" s="2" t="inlineStr">
        <x:is>
          <x:t xml:space="preserve">PDF SECTION 6 item 8 + High-impact blocker</x:t>
        </x:is>
      </x:c>
    </x:row>
    <x:row r="247">
      <x:c r="A247" s="2" t="inlineStr">
        <x:is>
          <x:t xml:space="preserve">C-000246</x:t>
        </x:is>
      </x:c>
      <x:c r="B247" s="8" t="n">
        <x:v>46030.15761975694</x:v>
      </x:c>
      <x:c r="C247" s="2" t="inlineStr">
        <x:is>
          <x:t xml:space="preserve">FULL_STACK_FEATURE_MATRIX</x:t>
        </x:is>
      </x:c>
      <x:c r="D247" s="2" t="inlineStr">
        <x:is>
          <x:t xml:space="preserve">F-038</x:t>
        </x:is>
      </x:c>
      <x:c r="E247" s="2" t="inlineStr">
        <x:is>
          <x:t xml:space="preserve">Blocker_Description</x:t>
        </x:is>
      </x:c>
      <x:c r="F247" s="2" t="inlineStr">
        <x:is>
          <x:t xml:space="preserve">No CI/CD pipeline per report.</x:t>
        </x:is>
      </x:c>
      <x:c r="G247" s="2" t="inlineStr">
        <x:is>
          <x:t xml:space="preserve">No CI/CD pipeline.</x:t>
        </x:is>
      </x:c>
      <x:c r="H247" s="2" t="inlineStr">
        <x:is>
          <x:t xml:space="preserve">Rebased to PDF brutal-evidence rules for this run.</x:t>
        </x:is>
      </x:c>
      <x:c r="I247" s="2" t="inlineStr">
        <x:is>
          <x:t xml:space="preserve">PDF SECTION 6 item 4 (CI/CD missing)</x:t>
        </x:is>
      </x:c>
    </x:row>
    <x:row r="248">
      <x:c r="A248" s="2" t="inlineStr">
        <x:is>
          <x:t xml:space="preserve">C-000247</x:t>
        </x:is>
      </x:c>
      <x:c r="B248" s="8" t="n">
        <x:v>46030.15761975694</x:v>
      </x:c>
      <x:c r="C248" s="2" t="inlineStr">
        <x:is>
          <x:t xml:space="preserve">FULL_STACK_FEATURE_MATRIX</x:t>
        </x:is>
      </x:c>
      <x:c r="D248" s="2" t="inlineStr">
        <x:is>
          <x:t xml:space="preserve">F-038</x:t>
        </x:is>
      </x:c>
      <x:c r="E248" s="2" t="inlineStr">
        <x:is>
          <x:t xml:space="preserve">Priority</x:t>
        </x:is>
      </x:c>
      <x:c r="F248" s="2" t="inlineStr">
        <x:is>
          <x:t xml:space="preserve">P1</x:t>
        </x:is>
      </x:c>
      <x:c r="G248" s="2" t="inlineStr">
        <x:is>
          <x:t xml:space="preserve">P2</x:t>
        </x:is>
      </x:c>
      <x:c r="H248" s="2" t="inlineStr">
        <x:is>
          <x:t xml:space="preserve">Rebased to PDF brutal-evidence rules for this run.</x:t>
        </x:is>
      </x:c>
      <x:c r="I248" s="2" t="inlineStr">
        <x:is>
          <x:t xml:space="preserve">PDF SECTION 6 item 4 (CI/CD missing)</x:t>
        </x:is>
      </x:c>
    </x:row>
    <x:row r="249">
      <x:c r="A249" s="2" t="inlineStr">
        <x:is>
          <x:t xml:space="preserve">C-000248</x:t>
        </x:is>
      </x:c>
      <x:c r="B249" s="8" t="n">
        <x:v>46030.15761975694</x:v>
      </x:c>
      <x:c r="C249" s="2" t="inlineStr">
        <x:is>
          <x:t xml:space="preserve">FULL_STACK_FEATURE_MATRIX</x:t>
        </x:is>
      </x:c>
      <x:c r="D249" s="2" t="inlineStr">
        <x:is>
          <x:t xml:space="preserve">F-038</x:t>
        </x:is>
      </x:c>
      <x:c r="E249" s="2" t="inlineStr">
        <x:is>
          <x:t xml:space="preserve">Execution_Order</x:t>
        </x:is>
      </x:c>
      <x:c r="F249" s="2" t="inlineStr">
        <x:is>
          <x:t xml:space="preserve">38</x:t>
        </x:is>
      </x:c>
      <x:c r="G249" s="2" t="inlineStr">
        <x:is>
          <x:t xml:space="preserve">39</x:t>
        </x:is>
      </x:c>
      <x:c r="H249" s="2" t="inlineStr">
        <x:is>
          <x:t xml:space="preserve">Rebased to PDF brutal-evidence rules for this run.</x:t>
        </x:is>
      </x:c>
      <x:c r="I249" s="2" t="inlineStr">
        <x:is>
          <x:t xml:space="preserve">PDF SECTION 6 item 4 (CI/CD missing)</x:t>
        </x:is>
      </x:c>
    </x:row>
    <x:row r="250">
      <x:c r="A250" s="2" t="inlineStr">
        <x:is>
          <x:t xml:space="preserve">C-000249</x:t>
        </x:is>
      </x:c>
      <x:c r="B250" s="8" t="n">
        <x:v>46030.15761975694</x:v>
      </x:c>
      <x:c r="C250" s="2" t="inlineStr">
        <x:is>
          <x:t xml:space="preserve">FULL_STACK_FEATURE_MATRIX</x:t>
        </x:is>
      </x:c>
      <x:c r="D250" s="2" t="inlineStr">
        <x:is>
          <x:t xml:space="preserve">F-038</x:t>
        </x:is>
      </x:c>
      <x:c r="E250" s="2" t="inlineStr">
        <x:is>
          <x:t xml:space="preserve">Last_Updated_At</x:t>
        </x:is>
      </x:c>
      <x:c r="F250" s="2" t="inlineStr">
        <x:is>
          <x:t xml:space="preserve"/>
        </x:is>
      </x:c>
      <x:c r="G250" s="2" t="inlineStr">
        <x:is>
          <x:t xml:space="preserve">2026-01-08 03:46:58</x:t>
        </x:is>
      </x:c>
      <x:c r="H250" s="2" t="inlineStr">
        <x:is>
          <x:t xml:space="preserve">Timestamp tracking added.</x:t>
        </x:is>
      </x:c>
      <x:c r="I250" s="2" t="inlineStr">
        <x:is>
          <x:t xml:space="preserve">PDF SECTION 6 item 4 (CI/CD missing)</x:t>
        </x:is>
      </x:c>
    </x:row>
    <x:row r="251">
      <x:c r="A251" s="2" t="inlineStr">
        <x:is>
          <x:t xml:space="preserve">C-000250</x:t>
        </x:is>
      </x:c>
      <x:c r="B251" s="8" t="n">
        <x:v>46030.15761975694</x:v>
      </x:c>
      <x:c r="C251" s="2" t="inlineStr">
        <x:is>
          <x:t xml:space="preserve">FULL_STACK_FEATURE_MATRIX</x:t>
        </x:is>
      </x:c>
      <x:c r="D251" s="2" t="inlineStr">
        <x:is>
          <x:t xml:space="preserve">F-038</x:t>
        </x:is>
      </x:c>
      <x:c r="E251" s="2" t="inlineStr">
        <x:is>
          <x:t xml:space="preserve">Last_Updated_By</x:t>
        </x:is>
      </x:c>
      <x:c r="F251" s="2" t="inlineStr">
        <x:is>
          <x:t xml:space="preserve"/>
        </x:is>
      </x:c>
      <x:c r="G251" s="2" t="inlineStr">
        <x:is>
          <x:t xml:space="preserve">ChatGPT</x:t>
        </x:is>
      </x:c>
      <x:c r="H251" s="2" t="inlineStr">
        <x:is>
          <x:t xml:space="preserve">Timestamp tracking added.</x:t>
        </x:is>
      </x:c>
      <x:c r="I251" s="2" t="inlineStr">
        <x:is>
          <x:t xml:space="preserve">PDF SECTION 6 item 4 (CI/CD missing)</x:t>
        </x:is>
      </x:c>
    </x:row>
    <x:row r="252">
      <x:c r="A252" s="2" t="inlineStr">
        <x:is>
          <x:t xml:space="preserve">C-000251</x:t>
        </x:is>
      </x:c>
      <x:c r="B252" s="8" t="n">
        <x:v>46030.15761975694</x:v>
      </x:c>
      <x:c r="C252" s="2" t="inlineStr">
        <x:is>
          <x:t xml:space="preserve">FULL_STACK_FEATURE_MATRIX</x:t>
        </x:is>
      </x:c>
      <x:c r="D252" s="2" t="inlineStr">
        <x:is>
          <x:t xml:space="preserve">F-038</x:t>
        </x:is>
      </x:c>
      <x:c r="E252" s="2" t="inlineStr">
        <x:is>
          <x:t xml:space="preserve">Evidence_Ref</x:t>
        </x:is>
      </x:c>
      <x:c r="F252" s="2" t="inlineStr">
        <x:is>
          <x:t xml:space="preserve"/>
        </x:is>
      </x:c>
      <x:c r="G252" s="2" t="inlineStr">
        <x:is>
          <x:t xml:space="preserve">PDF SECTION 6 item 4 (CI/CD missing)</x:t>
        </x:is>
      </x:c>
      <x:c r="H252" s="2" t="inlineStr">
        <x:is>
          <x:t xml:space="preserve">Evidence tracking added.</x:t>
        </x:is>
      </x:c>
      <x:c r="I252" s="2" t="inlineStr">
        <x:is>
          <x:t xml:space="preserve">PDF SECTION 6 item 4 (CI/CD missing)</x:t>
        </x:is>
      </x:c>
    </x:row>
    <x:row r="253">
      <x:c r="A253" s="2" t="inlineStr">
        <x:is>
          <x:t xml:space="preserve">C-000252</x:t>
        </x:is>
      </x:c>
      <x:c r="B253" s="8" t="n">
        <x:v>46030.15761975694</x:v>
      </x:c>
      <x:c r="C253" s="2" t="inlineStr">
        <x:is>
          <x:t xml:space="preserve">FULL_STACK_FEATURE_MATRIX</x:t>
        </x:is>
      </x:c>
      <x:c r="D253" s="2" t="inlineStr">
        <x:is>
          <x:t xml:space="preserve">F-039</x:t>
        </x:is>
      </x:c>
      <x:c r="E253" s="2" t="inlineStr">
        <x:is>
          <x:t xml:space="preserve">Blocker_Description</x:t>
        </x:is>
      </x:c>
      <x:c r="F253" s="2" t="inlineStr">
        <x:is>
          <x:t xml:space="preserve">Mobile unit tests pass; backend lacks e2e tests.</x:t>
        </x:is>
      </x:c>
      <x:c r="G253" s="2" t="inlineStr">
        <x:is>
          <x:t xml:space="preserve">No e2e test suite evidenced in PDF.</x:t>
        </x:is>
      </x:c>
      <x:c r="H253" s="2" t="inlineStr">
        <x:is>
          <x:t xml:space="preserve">Rebased to PDF brutal-evidence rules for this run.</x:t>
        </x:is>
      </x:c>
      <x:c r="I253" s="2" t="inlineStr">
        <x:is>
          <x:t xml:space="preserve">PDF does not provide evidence of e2e test suite; listed as missing in SECTION 6 (general)</x:t>
        </x:is>
      </x:c>
    </x:row>
    <x:row r="254">
      <x:c r="A254" s="2" t="inlineStr">
        <x:is>
          <x:t xml:space="preserve">C-000253</x:t>
        </x:is>
      </x:c>
      <x:c r="B254" s="8" t="n">
        <x:v>46030.15761975694</x:v>
      </x:c>
      <x:c r="C254" s="2" t="inlineStr">
        <x:is>
          <x:t xml:space="preserve">FULL_STACK_FEATURE_MATRIX</x:t>
        </x:is>
      </x:c>
      <x:c r="D254" s="2" t="inlineStr">
        <x:is>
          <x:t xml:space="preserve">F-039</x:t>
        </x:is>
      </x:c>
      <x:c r="E254" s="2" t="inlineStr">
        <x:is>
          <x:t xml:space="preserve">Estimated_Effort_Hours</x:t>
        </x:is>
      </x:c>
      <x:c r="F254" s="2" t="inlineStr">
        <x:is>
          <x:t xml:space="preserve">80</x:t>
        </x:is>
      </x:c>
      <x:c r="G254" s="2" t="inlineStr">
        <x:is>
          <x:t xml:space="preserve">40</x:t>
        </x:is>
      </x:c>
      <x:c r="H254" s="2" t="inlineStr">
        <x:is>
          <x:t xml:space="preserve">Rebased to PDF brutal-evidence rules for this run.</x:t>
        </x:is>
      </x:c>
      <x:c r="I254" s="2" t="inlineStr">
        <x:is>
          <x:t xml:space="preserve">PDF does not provide evidence of e2e test suite; listed as missing in SECTION 6 (general)</x:t>
        </x:is>
      </x:c>
    </x:row>
    <x:row r="255">
      <x:c r="A255" s="2" t="inlineStr">
        <x:is>
          <x:t xml:space="preserve">C-000254</x:t>
        </x:is>
      </x:c>
      <x:c r="B255" s="8" t="n">
        <x:v>46030.15761975694</x:v>
      </x:c>
      <x:c r="C255" s="2" t="inlineStr">
        <x:is>
          <x:t xml:space="preserve">FULL_STACK_FEATURE_MATRIX</x:t>
        </x:is>
      </x:c>
      <x:c r="D255" s="2" t="inlineStr">
        <x:is>
          <x:t xml:space="preserve">F-039</x:t>
        </x:is>
      </x:c>
      <x:c r="E255" s="2" t="inlineStr">
        <x:is>
          <x:t xml:space="preserve">Execution_Order</x:t>
        </x:is>
      </x:c>
      <x:c r="F255" s="2" t="inlineStr">
        <x:is>
          <x:t xml:space="preserve">39</x:t>
        </x:is>
      </x:c>
      <x:c r="G255" s="2" t="inlineStr">
        <x:is>
          <x:t xml:space="preserve">40</x:t>
        </x:is>
      </x:c>
      <x:c r="H255" s="2" t="inlineStr">
        <x:is>
          <x:t xml:space="preserve">Rebased to PDF brutal-evidence rules for this run.</x:t>
        </x:is>
      </x:c>
      <x:c r="I255" s="2" t="inlineStr">
        <x:is>
          <x:t xml:space="preserve">PDF does not provide evidence of e2e test suite; listed as missing in SECTION 6 (general)</x:t>
        </x:is>
      </x:c>
    </x:row>
    <x:row r="256">
      <x:c r="A256" s="2" t="inlineStr">
        <x:is>
          <x:t xml:space="preserve">C-000255</x:t>
        </x:is>
      </x:c>
      <x:c r="B256" s="8" t="n">
        <x:v>46030.15761975694</x:v>
      </x:c>
      <x:c r="C256" s="2" t="inlineStr">
        <x:is>
          <x:t xml:space="preserve">FULL_STACK_FEATURE_MATRIX</x:t>
        </x:is>
      </x:c>
      <x:c r="D256" s="2" t="inlineStr">
        <x:is>
          <x:t xml:space="preserve">F-039</x:t>
        </x:is>
      </x:c>
      <x:c r="E256" s="2" t="inlineStr">
        <x:is>
          <x:t xml:space="preserve">Last_Updated_At</x:t>
        </x:is>
      </x:c>
      <x:c r="F256" s="2" t="inlineStr">
        <x:is>
          <x:t xml:space="preserve"/>
        </x:is>
      </x:c>
      <x:c r="G256" s="2" t="inlineStr">
        <x:is>
          <x:t xml:space="preserve">2026-01-08 03:46:58</x:t>
        </x:is>
      </x:c>
      <x:c r="H256" s="2" t="inlineStr">
        <x:is>
          <x:t xml:space="preserve">Timestamp tracking added.</x:t>
        </x:is>
      </x:c>
      <x:c r="I256" s="2" t="inlineStr">
        <x:is>
          <x:t xml:space="preserve">PDF does not provide evidence of e2e test suite; listed as missing in SECTION 6 (general)</x:t>
        </x:is>
      </x:c>
    </x:row>
    <x:row r="257">
      <x:c r="A257" s="2" t="inlineStr">
        <x:is>
          <x:t xml:space="preserve">C-000256</x:t>
        </x:is>
      </x:c>
      <x:c r="B257" s="8" t="n">
        <x:v>46030.15761975694</x:v>
      </x:c>
      <x:c r="C257" s="2" t="inlineStr">
        <x:is>
          <x:t xml:space="preserve">FULL_STACK_FEATURE_MATRIX</x:t>
        </x:is>
      </x:c>
      <x:c r="D257" s="2" t="inlineStr">
        <x:is>
          <x:t xml:space="preserve">F-039</x:t>
        </x:is>
      </x:c>
      <x:c r="E257" s="2" t="inlineStr">
        <x:is>
          <x:t xml:space="preserve">Last_Updated_By</x:t>
        </x:is>
      </x:c>
      <x:c r="F257" s="2" t="inlineStr">
        <x:is>
          <x:t xml:space="preserve"/>
        </x:is>
      </x:c>
      <x:c r="G257" s="2" t="inlineStr">
        <x:is>
          <x:t xml:space="preserve">ChatGPT</x:t>
        </x:is>
      </x:c>
      <x:c r="H257" s="2" t="inlineStr">
        <x:is>
          <x:t xml:space="preserve">Timestamp tracking added.</x:t>
        </x:is>
      </x:c>
      <x:c r="I257" s="2" t="inlineStr">
        <x:is>
          <x:t xml:space="preserve">PDF does not provide evidence of e2e test suite; listed as missing in SECTION 6 (general)</x:t>
        </x:is>
      </x:c>
    </x:row>
    <x:row r="258">
      <x:c r="A258" s="2" t="inlineStr">
        <x:is>
          <x:t xml:space="preserve">C-000257</x:t>
        </x:is>
      </x:c>
      <x:c r="B258" s="8" t="n">
        <x:v>46030.15761975694</x:v>
      </x:c>
      <x:c r="C258" s="2" t="inlineStr">
        <x:is>
          <x:t xml:space="preserve">FULL_STACK_FEATURE_MATRIX</x:t>
        </x:is>
      </x:c>
      <x:c r="D258" s="2" t="inlineStr">
        <x:is>
          <x:t xml:space="preserve">F-039</x:t>
        </x:is>
      </x:c>
      <x:c r="E258" s="2" t="inlineStr">
        <x:is>
          <x:t xml:space="preserve">Evidence_Ref</x:t>
        </x:is>
      </x:c>
      <x:c r="F258" s="2" t="inlineStr">
        <x:is>
          <x:t xml:space="preserve"/>
        </x:is>
      </x:c>
      <x:c r="G258" s="2" t="inlineStr">
        <x:is>
          <x:t xml:space="preserve">PDF does not provide evidence of e2e test suite; listed as missing in SECTION 6 (general)</x:t>
        </x:is>
      </x:c>
      <x:c r="H258" s="2" t="inlineStr">
        <x:is>
          <x:t xml:space="preserve">Evidence tracking added.</x:t>
        </x:is>
      </x:c>
      <x:c r="I258" s="2" t="inlineStr">
        <x:is>
          <x:t xml:space="preserve">PDF does not provide evidence of e2e test suite; listed as missing in SECTION 6 (general)</x:t>
        </x:is>
      </x:c>
    </x:row>
    <x:row r="259">
      <x:c r="A259" s="2" t="inlineStr">
        <x:is>
          <x:t xml:space="preserve">C-000258</x:t>
        </x:is>
      </x:c>
      <x:c r="B259" s="8" t="n">
        <x:v>46030.15761975694</x:v>
      </x:c>
      <x:c r="C259" s="2" t="inlineStr">
        <x:is>
          <x:t xml:space="preserve">FULL_STACK_FEATURE_MATRIX</x:t>
        </x:is>
      </x:c>
      <x:c r="D259" s="2" t="inlineStr">
        <x:is>
          <x:t xml:space="preserve">F-040</x:t>
        </x:is>
      </x:c>
      <x:c r="E259" s="2" t="inlineStr">
        <x:is>
          <x:t xml:space="preserve">Backend_Completion_%</x:t>
        </x:is>
      </x:c>
      <x:c r="F259" s="2" t="inlineStr">
        <x:is>
          <x:t xml:space="preserve">40</x:t>
        </x:is>
      </x:c>
      <x:c r="G259" s="2" t="inlineStr">
        <x:is>
          <x:t xml:space="preserve">20</x:t>
        </x:is>
      </x:c>
      <x:c r="H259" s="2" t="inlineStr">
        <x:is>
          <x:t xml:space="preserve">Rebased to PDF brutal-evidence rules for this run.</x:t>
        </x:is>
      </x:c>
      <x:c r="I259" s="2" t="inlineStr">
        <x:is>
          <x:t xml:space="preserve">PDF SECTION 12 blocker 8 + Hardcoded Secrets table</x:t>
        </x:is>
      </x:c>
    </x:row>
    <x:row r="260">
      <x:c r="A260" s="2" t="inlineStr">
        <x:is>
          <x:t xml:space="preserve">C-000259</x:t>
        </x:is>
      </x:c>
      <x:c r="B260" s="8" t="n">
        <x:v>46030.15761975694</x:v>
      </x:c>
      <x:c r="C260" s="2" t="inlineStr">
        <x:is>
          <x:t xml:space="preserve">FULL_STACK_FEATURE_MATRIX</x:t>
        </x:is>
      </x:c>
      <x:c r="D260" s="2" t="inlineStr">
        <x:is>
          <x:t xml:space="preserve">F-040</x:t>
        </x:is>
      </x:c>
      <x:c r="E260" s="2" t="inlineStr">
        <x:is>
          <x:t xml:space="preserve">Blocker_Description</x:t>
        </x:is>
      </x:c>
      <x:c r="F260" s="2" t="inlineStr">
        <x:is>
          <x:t xml:space="preserve">QR_TOKEN_SECRET validation commented; secret setup TODO.</x:t>
        </x:is>
      </x:c>
      <x:c r="G260" s="2" t="inlineStr">
        <x:is>
          <x:t xml:space="preserve">Hardcoded secrets / commented secret validations; Secret Manager TODO.</x:t>
        </x:is>
      </x:c>
      <x:c r="H260" s="2" t="inlineStr">
        <x:is>
          <x:t xml:space="preserve">Rebased to PDF brutal-evidence rules for this run.</x:t>
        </x:is>
      </x:c>
      <x:c r="I260" s="2" t="inlineStr">
        <x:is>
          <x:t xml:space="preserve">PDF SECTION 12 blocker 8 + Hardcoded Secrets table</x:t>
        </x:is>
      </x:c>
    </x:row>
    <x:row r="261">
      <x:c r="A261" s="2" t="inlineStr">
        <x:is>
          <x:t xml:space="preserve">C-000260</x:t>
        </x:is>
      </x:c>
      <x:c r="B261" s="8" t="n">
        <x:v>46030.15761975694</x:v>
      </x:c>
      <x:c r="C261" s="2" t="inlineStr">
        <x:is>
          <x:t xml:space="preserve">FULL_STACK_FEATURE_MATRIX</x:t>
        </x:is>
      </x:c>
      <x:c r="D261" s="2" t="inlineStr">
        <x:is>
          <x:t xml:space="preserve">F-040</x:t>
        </x:is>
      </x:c>
      <x:c r="E261" s="2" t="inlineStr">
        <x:is>
          <x:t xml:space="preserve">Estimated_Effort_Hours</x:t>
        </x:is>
      </x:c>
      <x:c r="F261" s="2" t="inlineStr">
        <x:is>
          <x:t xml:space="preserve">16</x:t>
        </x:is>
      </x:c>
      <x:c r="G261" s="2" t="inlineStr">
        <x:is>
          <x:t xml:space="preserve">8</x:t>
        </x:is>
      </x:c>
      <x:c r="H261" s="2" t="inlineStr">
        <x:is>
          <x:t xml:space="preserve">Rebased to PDF brutal-evidence rules for this run.</x:t>
        </x:is>
      </x:c>
      <x:c r="I261" s="2" t="inlineStr">
        <x:is>
          <x:t xml:space="preserve">PDF SECTION 12 blocker 8 + Hardcoded Secrets table</x:t>
        </x:is>
      </x:c>
    </x:row>
    <x:row r="262">
      <x:c r="A262" s="2" t="inlineStr">
        <x:is>
          <x:t xml:space="preserve">C-000261</x:t>
        </x:is>
      </x:c>
      <x:c r="B262" s="8" t="n">
        <x:v>46030.15761975694</x:v>
      </x:c>
      <x:c r="C262" s="2" t="inlineStr">
        <x:is>
          <x:t xml:space="preserve">FULL_STACK_FEATURE_MATRIX</x:t>
        </x:is>
      </x:c>
      <x:c r="D262" s="2" t="inlineStr">
        <x:is>
          <x:t xml:space="preserve">F-040</x:t>
        </x:is>
      </x:c>
      <x:c r="E262" s="2" t="inlineStr">
        <x:is>
          <x:t xml:space="preserve">Execution_Order</x:t>
        </x:is>
      </x:c>
      <x:c r="F262" s="2" t="inlineStr">
        <x:is>
          <x:t xml:space="preserve">40</x:t>
        </x:is>
      </x:c>
      <x:c r="G262" s="2" t="inlineStr">
        <x:is>
          <x:t xml:space="preserve">1</x:t>
        </x:is>
      </x:c>
      <x:c r="H262" s="2" t="inlineStr">
        <x:is>
          <x:t xml:space="preserve">Rebased to PDF brutal-evidence rules for this run.</x:t>
        </x:is>
      </x:c>
      <x:c r="I262" s="2" t="inlineStr">
        <x:is>
          <x:t xml:space="preserve">PDF SECTION 12 blocker 8 + Hardcoded Secrets table</x:t>
        </x:is>
      </x:c>
    </x:row>
    <x:row r="263">
      <x:c r="A263" s="2" t="inlineStr">
        <x:is>
          <x:t xml:space="preserve">C-000262</x:t>
        </x:is>
      </x:c>
      <x:c r="B263" s="8" t="n">
        <x:v>46030.15761975694</x:v>
      </x:c>
      <x:c r="C263" s="2" t="inlineStr">
        <x:is>
          <x:t xml:space="preserve">FULL_STACK_FEATURE_MATRIX</x:t>
        </x:is>
      </x:c>
      <x:c r="D263" s="2" t="inlineStr">
        <x:is>
          <x:t xml:space="preserve">F-040</x:t>
        </x:is>
      </x:c>
      <x:c r="E263" s="2" t="inlineStr">
        <x:is>
          <x:t xml:space="preserve">Last_Updated_At</x:t>
        </x:is>
      </x:c>
      <x:c r="F263" s="2" t="inlineStr">
        <x:is>
          <x:t xml:space="preserve"/>
        </x:is>
      </x:c>
      <x:c r="G263" s="2" t="inlineStr">
        <x:is>
          <x:t xml:space="preserve">2026-01-08 03:46:58</x:t>
        </x:is>
      </x:c>
      <x:c r="H263" s="2" t="inlineStr">
        <x:is>
          <x:t xml:space="preserve">Timestamp tracking added.</x:t>
        </x:is>
      </x:c>
      <x:c r="I263" s="2" t="inlineStr">
        <x:is>
          <x:t xml:space="preserve">PDF SECTION 12 blocker 8 + Hardcoded Secrets table</x:t>
        </x:is>
      </x:c>
    </x:row>
    <x:row r="264">
      <x:c r="A264" s="2" t="inlineStr">
        <x:is>
          <x:t xml:space="preserve">C-000263</x:t>
        </x:is>
      </x:c>
      <x:c r="B264" s="8" t="n">
        <x:v>46030.15761975694</x:v>
      </x:c>
      <x:c r="C264" s="2" t="inlineStr">
        <x:is>
          <x:t xml:space="preserve">FULL_STACK_FEATURE_MATRIX</x:t>
        </x:is>
      </x:c>
      <x:c r="D264" s="2" t="inlineStr">
        <x:is>
          <x:t xml:space="preserve">F-040</x:t>
        </x:is>
      </x:c>
      <x:c r="E264" s="2" t="inlineStr">
        <x:is>
          <x:t xml:space="preserve">Last_Updated_By</x:t>
        </x:is>
      </x:c>
      <x:c r="F264" s="2" t="inlineStr">
        <x:is>
          <x:t xml:space="preserve"/>
        </x:is>
      </x:c>
      <x:c r="G264" s="2" t="inlineStr">
        <x:is>
          <x:t xml:space="preserve">ChatGPT</x:t>
        </x:is>
      </x:c>
      <x:c r="H264" s="2" t="inlineStr">
        <x:is>
          <x:t xml:space="preserve">Timestamp tracking added.</x:t>
        </x:is>
      </x:c>
      <x:c r="I264" s="2" t="inlineStr">
        <x:is>
          <x:t xml:space="preserve">PDF SECTION 12 blocker 8 + Hardcoded Secrets table</x:t>
        </x:is>
      </x:c>
    </x:row>
    <x:row r="265">
      <x:c r="A265" s="2" t="inlineStr">
        <x:is>
          <x:t xml:space="preserve">C-000264</x:t>
        </x:is>
      </x:c>
      <x:c r="B265" s="8" t="n">
        <x:v>46030.15761975694</x:v>
      </x:c>
      <x:c r="C265" s="2" t="inlineStr">
        <x:is>
          <x:t xml:space="preserve">FULL_STACK_FEATURE_MATRIX</x:t>
        </x:is>
      </x:c>
      <x:c r="D265" s="2" t="inlineStr">
        <x:is>
          <x:t xml:space="preserve">F-040</x:t>
        </x:is>
      </x:c>
      <x:c r="E265" s="2" t="inlineStr">
        <x:is>
          <x:t xml:space="preserve">Evidence_Ref</x:t>
        </x:is>
      </x:c>
      <x:c r="F265" s="2" t="inlineStr">
        <x:is>
          <x:t xml:space="preserve"/>
        </x:is>
      </x:c>
      <x:c r="G265" s="2" t="inlineStr">
        <x:is>
          <x:t xml:space="preserve">PDF SECTION 12 blocker 8 + Hardcoded Secrets table</x:t>
        </x:is>
      </x:c>
      <x:c r="H265" s="2" t="inlineStr">
        <x:is>
          <x:t xml:space="preserve">Evidence tracking added.</x:t>
        </x:is>
      </x:c>
      <x:c r="I265" s="2" t="inlineStr">
        <x:is>
          <x:t xml:space="preserve">PDF SECTION 12 blocker 8 + Hardcoded Secrets table</x:t>
        </x:is>
      </x:c>
    </x:row>
    <x:row r="266">
      <x:c r="A266" s="2" t="inlineStr">
        <x:is>
          <x:t xml:space="preserve">C-000265</x:t>
        </x:is>
      </x:c>
      <x:c r="B266" s="8" t="n">
        <x:v>46030.15761975694</x:v>
      </x:c>
      <x:c r="C266" s="2" t="inlineStr">
        <x:is>
          <x:t xml:space="preserve">FULL_STACK_FEATURE_MATRIX</x:t>
        </x:is>
      </x:c>
      <x:c r="D266" s="2" t="inlineStr">
        <x:is>
          <x:t xml:space="preserve">F-041</x:t>
        </x:is>
      </x:c>
      <x:c r="E266" s="2" t="inlineStr">
        <x:is>
          <x:t xml:space="preserve">Blocker_Description</x:t>
        </x:is>
      </x:c>
      <x:c r="F266" s="2" t="inlineStr">
        <x:is>
          <x:t xml:space="preserve">No build signing/upload configs per report.</x:t>
        </x:is>
      </x:c>
      <x:c r="G266" s="2" t="inlineStr">
        <x:is>
          <x:t xml:space="preserve">No deployment scripts for store builds/submission.</x:t>
        </x:is>
      </x:c>
      <x:c r="H266" s="2" t="inlineStr">
        <x:is>
          <x:t xml:space="preserve">Rebased to PDF brutal-evidence rules for this run.</x:t>
        </x:is>
      </x:c>
      <x:c r="I266" s="2" t="inlineStr">
        <x:is>
          <x:t xml:space="preserve">PDF SECTION 6 item 3 (deployment scripts missing) + App Store readiness context</x:t>
        </x:is>
      </x:c>
    </x:row>
    <x:row r="267">
      <x:c r="A267" s="2" t="inlineStr">
        <x:is>
          <x:t xml:space="preserve">C-000266</x:t>
        </x:is>
      </x:c>
      <x:c r="B267" s="8" t="n">
        <x:v>46030.15761975694</x:v>
      </x:c>
      <x:c r="C267" s="2" t="inlineStr">
        <x:is>
          <x:t xml:space="preserve">FULL_STACK_FEATURE_MATRIX</x:t>
        </x:is>
      </x:c>
      <x:c r="D267" s="2" t="inlineStr">
        <x:is>
          <x:t xml:space="preserve">F-041</x:t>
        </x:is>
      </x:c>
      <x:c r="E267" s="2" t="inlineStr">
        <x:is>
          <x:t xml:space="preserve">Priority</x:t>
        </x:is>
      </x:c>
      <x:c r="F267" s="2" t="inlineStr">
        <x:is>
          <x:t xml:space="preserve">P0</x:t>
        </x:is>
      </x:c>
      <x:c r="G267" s="2" t="inlineStr">
        <x:is>
          <x:t xml:space="preserve">P2</x:t>
        </x:is>
      </x:c>
      <x:c r="H267" s="2" t="inlineStr">
        <x:is>
          <x:t xml:space="preserve">Rebased to PDF brutal-evidence rules for this run.</x:t>
        </x:is>
      </x:c>
      <x:c r="I267" s="2" t="inlineStr">
        <x:is>
          <x:t xml:space="preserve">PDF SECTION 6 item 3 (deployment scripts missing) + App Store readiness context</x:t>
        </x:is>
      </x:c>
    </x:row>
    <x:row r="268">
      <x:c r="A268" s="2" t="inlineStr">
        <x:is>
          <x:t xml:space="preserve">C-000267</x:t>
        </x:is>
      </x:c>
      <x:c r="B268" s="8" t="n">
        <x:v>46030.15761975694</x:v>
      </x:c>
      <x:c r="C268" s="2" t="inlineStr">
        <x:is>
          <x:t xml:space="preserve">FULL_STACK_FEATURE_MATRIX</x:t>
        </x:is>
      </x:c>
      <x:c r="D268" s="2" t="inlineStr">
        <x:is>
          <x:t xml:space="preserve">F-041</x:t>
        </x:is>
      </x:c>
      <x:c r="E268" s="2" t="inlineStr">
        <x:is>
          <x:t xml:space="preserve">Estimated_Effort_Hours</x:t>
        </x:is>
      </x:c>
      <x:c r="F268" s="2" t="inlineStr">
        <x:is>
          <x:t xml:space="preserve">56</x:t>
        </x:is>
      </x:c>
      <x:c r="G268" s="2" t="inlineStr">
        <x:is>
          <x:t xml:space="preserve">40</x:t>
        </x:is>
      </x:c>
      <x:c r="H268" s="2" t="inlineStr">
        <x:is>
          <x:t xml:space="preserve">Rebased to PDF brutal-evidence rules for this run.</x:t>
        </x:is>
      </x:c>
      <x:c r="I268" s="2" t="inlineStr">
        <x:is>
          <x:t xml:space="preserve">PDF SECTION 6 item 3 (deployment scripts missing) + App Store readiness context</x:t>
        </x:is>
      </x:c>
    </x:row>
    <x:row r="269">
      <x:c r="A269" s="2" t="inlineStr">
        <x:is>
          <x:t xml:space="preserve">C-000268</x:t>
        </x:is>
      </x:c>
      <x:c r="B269" s="8" t="n">
        <x:v>46030.15761975694</x:v>
      </x:c>
      <x:c r="C269" s="2" t="inlineStr">
        <x:is>
          <x:t xml:space="preserve">FULL_STACK_FEATURE_MATRIX</x:t>
        </x:is>
      </x:c>
      <x:c r="D269" s="2" t="inlineStr">
        <x:is>
          <x:t xml:space="preserve">F-041</x:t>
        </x:is>
      </x:c>
      <x:c r="E269" s="2" t="inlineStr">
        <x:is>
          <x:t xml:space="preserve">Last_Updated_At</x:t>
        </x:is>
      </x:c>
      <x:c r="F269" s="2" t="inlineStr">
        <x:is>
          <x:t xml:space="preserve"/>
        </x:is>
      </x:c>
      <x:c r="G269" s="2" t="inlineStr">
        <x:is>
          <x:t xml:space="preserve">2026-01-08 03:46:58</x:t>
        </x:is>
      </x:c>
      <x:c r="H269" s="2" t="inlineStr">
        <x:is>
          <x:t xml:space="preserve">Timestamp tracking added.</x:t>
        </x:is>
      </x:c>
      <x:c r="I269" s="2" t="inlineStr">
        <x:is>
          <x:t xml:space="preserve">PDF SECTION 6 item 3 (deployment scripts missing) + App Store readiness context</x:t>
        </x:is>
      </x:c>
    </x:row>
    <x:row r="270">
      <x:c r="A270" s="2" t="inlineStr">
        <x:is>
          <x:t xml:space="preserve">C-000269</x:t>
        </x:is>
      </x:c>
      <x:c r="B270" s="8" t="n">
        <x:v>46030.15761975694</x:v>
      </x:c>
      <x:c r="C270" s="2" t="inlineStr">
        <x:is>
          <x:t xml:space="preserve">FULL_STACK_FEATURE_MATRIX</x:t>
        </x:is>
      </x:c>
      <x:c r="D270" s="2" t="inlineStr">
        <x:is>
          <x:t xml:space="preserve">F-041</x:t>
        </x:is>
      </x:c>
      <x:c r="E270" s="2" t="inlineStr">
        <x:is>
          <x:t xml:space="preserve">Last_Updated_By</x:t>
        </x:is>
      </x:c>
      <x:c r="F270" s="2" t="inlineStr">
        <x:is>
          <x:t xml:space="preserve"/>
        </x:is>
      </x:c>
      <x:c r="G270" s="2" t="inlineStr">
        <x:is>
          <x:t xml:space="preserve">ChatGPT</x:t>
        </x:is>
      </x:c>
      <x:c r="H270" s="2" t="inlineStr">
        <x:is>
          <x:t xml:space="preserve">Timestamp tracking added.</x:t>
        </x:is>
      </x:c>
      <x:c r="I270" s="2" t="inlineStr">
        <x:is>
          <x:t xml:space="preserve">PDF SECTION 6 item 3 (deployment scripts missing) + App Store readiness context</x:t>
        </x:is>
      </x:c>
    </x:row>
    <x:row r="271">
      <x:c r="A271" s="2" t="inlineStr">
        <x:is>
          <x:t xml:space="preserve">C-000270</x:t>
        </x:is>
      </x:c>
      <x:c r="B271" s="8" t="n">
        <x:v>46030.15761975694</x:v>
      </x:c>
      <x:c r="C271" s="2" t="inlineStr">
        <x:is>
          <x:t xml:space="preserve">FULL_STACK_FEATURE_MATRIX</x:t>
        </x:is>
      </x:c>
      <x:c r="D271" s="2" t="inlineStr">
        <x:is>
          <x:t xml:space="preserve">F-041</x:t>
        </x:is>
      </x:c>
      <x:c r="E271" s="2" t="inlineStr">
        <x:is>
          <x:t xml:space="preserve">Evidence_Ref</x:t>
        </x:is>
      </x:c>
      <x:c r="F271" s="2" t="inlineStr">
        <x:is>
          <x:t xml:space="preserve"/>
        </x:is>
      </x:c>
      <x:c r="G271" s="2" t="inlineStr">
        <x:is>
          <x:t xml:space="preserve">PDF SECTION 6 item 3 (deployment scripts missing) + App Store readiness context</x:t>
        </x:is>
      </x:c>
      <x:c r="H271" s="2" t="inlineStr">
        <x:is>
          <x:t xml:space="preserve">Evidence tracking added.</x:t>
        </x:is>
      </x:c>
      <x:c r="I271" s="2" t="inlineStr">
        <x:is>
          <x:t xml:space="preserve">PDF SECTION 6 item 3 (deployment scripts missing) + App Store readiness context</x:t>
        </x:is>
      </x:c>
    </x:row>
    <x:row r="272">
      <x:c r="A272" s="2" t="inlineStr">
        <x:is>
          <x:t xml:space="preserve">C-000271</x:t>
        </x:is>
      </x:c>
      <x:c r="B272" s="8" t="n">
        <x:v>46030.15761975694</x:v>
      </x:c>
      <x:c r="C272" s="2" t="inlineStr">
        <x:is>
          <x:t xml:space="preserve">FULL_STACK_FEATURE_MATRIX</x:t>
        </x:is>
      </x:c>
      <x:c r="D272" s="2" t="inlineStr">
        <x:is>
          <x:t xml:space="preserve">F-042</x:t>
        </x:is>
      </x:c>
      <x:c r="E272" s="2" t="inlineStr">
        <x:is>
          <x:t xml:space="preserve">Blocker_Description</x:t>
        </x:is>
      </x:c>
      <x:c r="F272" s="2" t="inlineStr">
        <x:is>
          <x:t xml:space="preserve">Referred_by exists but never wired.</x:t>
        </x:is>
      </x:c>
      <x:c r="G272" s="2" t="inlineStr">
        <x:is>
          <x:t xml:space="preserve">referred_by field exists but not wired.</x:t>
        </x:is>
      </x:c>
      <x:c r="H272" s="2" t="inlineStr">
        <x:is>
          <x:t xml:space="preserve">Rebased to PDF brutal-evidence rules for this run.</x:t>
        </x:is>
      </x:c>
      <x:c r="I272" s="2" t="inlineStr">
        <x:is>
          <x:t xml:space="preserve">PDF SECTION 6 item 14 (Referral system missing)</x:t>
        </x:is>
      </x:c>
    </x:row>
    <x:row r="273">
      <x:c r="A273" s="2" t="inlineStr">
        <x:is>
          <x:t xml:space="preserve">C-000272</x:t>
        </x:is>
      </x:c>
      <x:c r="B273" s="8" t="n">
        <x:v>46030.15761975694</x:v>
      </x:c>
      <x:c r="C273" s="2" t="inlineStr">
        <x:is>
          <x:t xml:space="preserve">FULL_STACK_FEATURE_MATRIX</x:t>
        </x:is>
      </x:c>
      <x:c r="D273" s="2" t="inlineStr">
        <x:is>
          <x:t xml:space="preserve">F-042</x:t>
        </x:is>
      </x:c>
      <x:c r="E273" s="2" t="inlineStr">
        <x:is>
          <x:t xml:space="preserve">Last_Updated_At</x:t>
        </x:is>
      </x:c>
      <x:c r="F273" s="2" t="inlineStr">
        <x:is>
          <x:t xml:space="preserve"/>
        </x:is>
      </x:c>
      <x:c r="G273" s="2" t="inlineStr">
        <x:is>
          <x:t xml:space="preserve">2026-01-08 03:46:58</x:t>
        </x:is>
      </x:c>
      <x:c r="H273" s="2" t="inlineStr">
        <x:is>
          <x:t xml:space="preserve">Timestamp tracking added.</x:t>
        </x:is>
      </x:c>
      <x:c r="I273" s="2" t="inlineStr">
        <x:is>
          <x:t xml:space="preserve">PDF SECTION 6 item 14 (Referral system missing)</x:t>
        </x:is>
      </x:c>
    </x:row>
    <x:row r="274">
      <x:c r="A274" s="2" t="inlineStr">
        <x:is>
          <x:t xml:space="preserve">C-000273</x:t>
        </x:is>
      </x:c>
      <x:c r="B274" s="8" t="n">
        <x:v>46030.15761975694</x:v>
      </x:c>
      <x:c r="C274" s="2" t="inlineStr">
        <x:is>
          <x:t xml:space="preserve">FULL_STACK_FEATURE_MATRIX</x:t>
        </x:is>
      </x:c>
      <x:c r="D274" s="2" t="inlineStr">
        <x:is>
          <x:t xml:space="preserve">F-042</x:t>
        </x:is>
      </x:c>
      <x:c r="E274" s="2" t="inlineStr">
        <x:is>
          <x:t xml:space="preserve">Last_Updated_By</x:t>
        </x:is>
      </x:c>
      <x:c r="F274" s="2" t="inlineStr">
        <x:is>
          <x:t xml:space="preserve"/>
        </x:is>
      </x:c>
      <x:c r="G274" s="2" t="inlineStr">
        <x:is>
          <x:t xml:space="preserve">ChatGPT</x:t>
        </x:is>
      </x:c>
      <x:c r="H274" s="2" t="inlineStr">
        <x:is>
          <x:t xml:space="preserve">Timestamp tracking added.</x:t>
        </x:is>
      </x:c>
      <x:c r="I274" s="2" t="inlineStr">
        <x:is>
          <x:t xml:space="preserve">PDF SECTION 6 item 14 (Referral system missing)</x:t>
        </x:is>
      </x:c>
    </x:row>
    <x:row r="275">
      <x:c r="A275" s="2" t="inlineStr">
        <x:is>
          <x:t xml:space="preserve">C-000274</x:t>
        </x:is>
      </x:c>
      <x:c r="B275" s="8" t="n">
        <x:v>46030.15761975694</x:v>
      </x:c>
      <x:c r="C275" s="2" t="inlineStr">
        <x:is>
          <x:t xml:space="preserve">FULL_STACK_FEATURE_MATRIX</x:t>
        </x:is>
      </x:c>
      <x:c r="D275" s="2" t="inlineStr">
        <x:is>
          <x:t xml:space="preserve">F-042</x:t>
        </x:is>
      </x:c>
      <x:c r="E275" s="2" t="inlineStr">
        <x:is>
          <x:t xml:space="preserve">Evidence_Ref</x:t>
        </x:is>
      </x:c>
      <x:c r="F275" s="2" t="inlineStr">
        <x:is>
          <x:t xml:space="preserve"/>
        </x:is>
      </x:c>
      <x:c r="G275" s="2" t="inlineStr">
        <x:is>
          <x:t xml:space="preserve">PDF SECTION 6 item 14 (Referral system missing)</x:t>
        </x:is>
      </x:c>
      <x:c r="H275" s="2" t="inlineStr">
        <x:is>
          <x:t xml:space="preserve">Evidence tracking added.</x:t>
        </x:is>
      </x:c>
      <x:c r="I275" s="2" t="inlineStr">
        <x:is>
          <x:t xml:space="preserve">PDF SECTION 6 item 14 (Referral system missing)</x:t>
        </x:is>
      </x:c>
    </x:row>
    <x:row r="276">
      <x:c r="A276" s="2" t="inlineStr">
        <x:is>
          <x:t xml:space="preserve">C-000275</x:t>
        </x:is>
      </x:c>
      <x:c r="B276" s="8" t="n">
        <x:v>46030.15761975694</x:v>
      </x:c>
      <x:c r="C276" s="2" t="inlineStr">
        <x:is>
          <x:t xml:space="preserve">FULL_STACK_FEATURE_MATRIX</x:t>
        </x:is>
      </x:c>
      <x:c r="D276" s="2" t="inlineStr">
        <x:is>
          <x:t xml:space="preserve">F-043</x:t>
        </x:is>
      </x:c>
      <x:c r="E276" s="2" t="inlineStr">
        <x:is>
          <x:t xml:space="preserve">Blocker_Description</x:t>
        </x:is>
      </x:c>
      <x:c r="F276" s="2" t="inlineStr">
        <x:is>
          <x:t xml:space="preserve">Only basic dashboard, no cohort/ML.</x:t>
        </x:is>
      </x:c>
      <x:c r="G276" s="2" t="inlineStr">
        <x:is>
          <x:t xml:space="preserve">Only basic dashboard; advanced analytics absent.</x:t>
        </x:is>
      </x:c>
      <x:c r="H276" s="2" t="inlineStr">
        <x:is>
          <x:t xml:space="preserve">Rebased to PDF brutal-evidence rules for this run.</x:t>
        </x:is>
      </x:c>
      <x:c r="I276" s="2" t="inlineStr">
        <x:is>
          <x:t xml:space="preserve">PDF SECTION 6 item 11/12 (Advanced analytics missing) context</x:t>
        </x:is>
      </x:c>
    </x:row>
    <x:row r="277">
      <x:c r="A277" s="2" t="inlineStr">
        <x:is>
          <x:t xml:space="preserve">C-000276</x:t>
        </x:is>
      </x:c>
      <x:c r="B277" s="8" t="n">
        <x:v>46030.15761975694</x:v>
      </x:c>
      <x:c r="C277" s="2" t="inlineStr">
        <x:is>
          <x:t xml:space="preserve">FULL_STACK_FEATURE_MATRIX</x:t>
        </x:is>
      </x:c>
      <x:c r="D277" s="2" t="inlineStr">
        <x:is>
          <x:t xml:space="preserve">F-043</x:t>
        </x:is>
      </x:c>
      <x:c r="E277" s="2" t="inlineStr">
        <x:is>
          <x:t xml:space="preserve">Last_Updated_At</x:t>
        </x:is>
      </x:c>
      <x:c r="F277" s="2" t="inlineStr">
        <x:is>
          <x:t xml:space="preserve"/>
        </x:is>
      </x:c>
      <x:c r="G277" s="2" t="inlineStr">
        <x:is>
          <x:t xml:space="preserve">2026-01-08 03:46:58</x:t>
        </x:is>
      </x:c>
      <x:c r="H277" s="2" t="inlineStr">
        <x:is>
          <x:t xml:space="preserve">Timestamp tracking added.</x:t>
        </x:is>
      </x:c>
      <x:c r="I277" s="2" t="inlineStr">
        <x:is>
          <x:t xml:space="preserve">PDF SECTION 6 item 11/12 (Advanced analytics missing) context</x:t>
        </x:is>
      </x:c>
    </x:row>
    <x:row r="278">
      <x:c r="A278" s="2" t="inlineStr">
        <x:is>
          <x:t xml:space="preserve">C-000277</x:t>
        </x:is>
      </x:c>
      <x:c r="B278" s="8" t="n">
        <x:v>46030.15761975694</x:v>
      </x:c>
      <x:c r="C278" s="2" t="inlineStr">
        <x:is>
          <x:t xml:space="preserve">FULL_STACK_FEATURE_MATRIX</x:t>
        </x:is>
      </x:c>
      <x:c r="D278" s="2" t="inlineStr">
        <x:is>
          <x:t xml:space="preserve">F-043</x:t>
        </x:is>
      </x:c>
      <x:c r="E278" s="2" t="inlineStr">
        <x:is>
          <x:t xml:space="preserve">Last_Updated_By</x:t>
        </x:is>
      </x:c>
      <x:c r="F278" s="2" t="inlineStr">
        <x:is>
          <x:t xml:space="preserve"/>
        </x:is>
      </x:c>
      <x:c r="G278" s="2" t="inlineStr">
        <x:is>
          <x:t xml:space="preserve">ChatGPT</x:t>
        </x:is>
      </x:c>
      <x:c r="H278" s="2" t="inlineStr">
        <x:is>
          <x:t xml:space="preserve">Timestamp tracking added.</x:t>
        </x:is>
      </x:c>
      <x:c r="I278" s="2" t="inlineStr">
        <x:is>
          <x:t xml:space="preserve">PDF SECTION 6 item 11/12 (Advanced analytics missing) context</x:t>
        </x:is>
      </x:c>
    </x:row>
    <x:row r="279">
      <x:c r="A279" s="2" t="inlineStr">
        <x:is>
          <x:t xml:space="preserve">C-000278</x:t>
        </x:is>
      </x:c>
      <x:c r="B279" s="8" t="n">
        <x:v>46030.15761975694</x:v>
      </x:c>
      <x:c r="C279" s="2" t="inlineStr">
        <x:is>
          <x:t xml:space="preserve">FULL_STACK_FEATURE_MATRIX</x:t>
        </x:is>
      </x:c>
      <x:c r="D279" s="2" t="inlineStr">
        <x:is>
          <x:t xml:space="preserve">F-043</x:t>
        </x:is>
      </x:c>
      <x:c r="E279" s="2" t="inlineStr">
        <x:is>
          <x:t xml:space="preserve">Evidence_Ref</x:t>
        </x:is>
      </x:c>
      <x:c r="F279" s="2" t="inlineStr">
        <x:is>
          <x:t xml:space="preserve"/>
        </x:is>
      </x:c>
      <x:c r="G279" s="2" t="inlineStr">
        <x:is>
          <x:t xml:space="preserve">PDF SECTION 6 item 11/12 (Advanced analytics missing) context</x:t>
        </x:is>
      </x:c>
      <x:c r="H279" s="2" t="inlineStr">
        <x:is>
          <x:t xml:space="preserve">Evidence tracking added.</x:t>
        </x:is>
      </x:c>
      <x:c r="I279" s="2" t="inlineStr">
        <x:is>
          <x:t xml:space="preserve">PDF SECTION 6 item 11/12 (Advanced analytics missing) context</x:t>
        </x:is>
      </x:c>
    </x:row>
    <x:row r="280">
      <x:c r="A280" s="2" t="inlineStr">
        <x:is>
          <x:t xml:space="preserve">C-000279</x:t>
        </x:is>
      </x:c>
      <x:c r="B280" s="8" t="n">
        <x:v>46030.15761975694</x:v>
      </x:c>
      <x:c r="C280" s="2" t="inlineStr">
        <x:is>
          <x:t xml:space="preserve">FULL_STACK_FEATURE_MATRIX</x:t>
        </x:is>
      </x:c>
      <x:c r="D280" s="2" t="inlineStr">
        <x:is>
          <x:t xml:space="preserve">F-044</x:t>
        </x:is>
      </x:c>
      <x:c r="E280" s="2" t="inlineStr">
        <x:is>
          <x:t xml:space="preserve">Blocker_Description</x:t>
        </x:is>
      </x:c>
      <x:c r="F280" s="2" t="inlineStr">
        <x:is>
          <x:t xml:space="preserve">Customer &amp; Merchant apps: 0 errors, tests pass.</x:t>
        </x:is>
      </x:c>
      <x:c r="G280" s="2" t="inlineStr">
        <x:is>
          <x:t xml:space="preserve"/>
        </x:is>
      </x:c>
      <x:c r="H280" s="2" t="inlineStr">
        <x:is>
          <x:t xml:space="preserve">Rebased to PDF brutal-evidence rules for this run.</x:t>
        </x:is>
      </x:c>
      <x:c r="I280" s="2" t="inlineStr">
        <x:is>
          <x:t xml:space="preserve">PDF SECTION 4 item 11 + Mobile Apps table (flutter analyze/test pass)</x:t>
        </x:is>
      </x:c>
    </x:row>
    <x:row r="281">
      <x:c r="A281" s="2" t="inlineStr">
        <x:is>
          <x:t xml:space="preserve">C-000280</x:t>
        </x:is>
      </x:c>
      <x:c r="B281" s="8" t="n">
        <x:v>46030.15761975694</x:v>
      </x:c>
      <x:c r="C281" s="2" t="inlineStr">
        <x:is>
          <x:t xml:space="preserve">FULL_STACK_FEATURE_MATRIX</x:t>
        </x:is>
      </x:c>
      <x:c r="D281" s="2" t="inlineStr">
        <x:is>
          <x:t xml:space="preserve">F-044</x:t>
        </x:is>
      </x:c>
      <x:c r="E281" s="2" t="inlineStr">
        <x:is>
          <x:t xml:space="preserve">Priority</x:t>
        </x:is>
      </x:c>
      <x:c r="F281" s="2" t="inlineStr">
        <x:is>
          <x:t xml:space="preserve">P1</x:t>
        </x:is>
      </x:c>
      <x:c r="G281" s="2" t="inlineStr">
        <x:is>
          <x:t xml:space="preserve">P2</x:t>
        </x:is>
      </x:c>
      <x:c r="H281" s="2" t="inlineStr">
        <x:is>
          <x:t xml:space="preserve">Rebased to PDF brutal-evidence rules for this run.</x:t>
        </x:is>
      </x:c>
      <x:c r="I281" s="2" t="inlineStr">
        <x:is>
          <x:t xml:space="preserve">PDF SECTION 4 item 11 + Mobile Apps table (flutter analyze/test pass)</x:t>
        </x:is>
      </x:c>
    </x:row>
    <x:row r="282">
      <x:c r="A282" s="2" t="inlineStr">
        <x:is>
          <x:t xml:space="preserve">C-000281</x:t>
        </x:is>
      </x:c>
      <x:c r="B282" s="8" t="n">
        <x:v>46030.15761975694</x:v>
      </x:c>
      <x:c r="C282" s="2" t="inlineStr">
        <x:is>
          <x:t xml:space="preserve">FULL_STACK_FEATURE_MATRIX</x:t>
        </x:is>
      </x:c>
      <x:c r="D282" s="2" t="inlineStr">
        <x:is>
          <x:t xml:space="preserve">F-044</x:t>
        </x:is>
      </x:c>
      <x:c r="E282" s="2" t="inlineStr">
        <x:is>
          <x:t xml:space="preserve">Last_Updated_At</x:t>
        </x:is>
      </x:c>
      <x:c r="F282" s="2" t="inlineStr">
        <x:is>
          <x:t xml:space="preserve"/>
        </x:is>
      </x:c>
      <x:c r="G282" s="2" t="inlineStr">
        <x:is>
          <x:t xml:space="preserve">2026-01-08 03:46:58</x:t>
        </x:is>
      </x:c>
      <x:c r="H282" s="2" t="inlineStr">
        <x:is>
          <x:t xml:space="preserve">Timestamp tracking added.</x:t>
        </x:is>
      </x:c>
      <x:c r="I282" s="2" t="inlineStr">
        <x:is>
          <x:t xml:space="preserve">PDF SECTION 4 item 11 + Mobile Apps table (flutter analyze/test pass)</x:t>
        </x:is>
      </x:c>
    </x:row>
    <x:row r="283">
      <x:c r="A283" s="2" t="inlineStr">
        <x:is>
          <x:t xml:space="preserve">C-000282</x:t>
        </x:is>
      </x:c>
      <x:c r="B283" s="8" t="n">
        <x:v>46030.15761975694</x:v>
      </x:c>
      <x:c r="C283" s="2" t="inlineStr">
        <x:is>
          <x:t xml:space="preserve">FULL_STACK_FEATURE_MATRIX</x:t>
        </x:is>
      </x:c>
      <x:c r="D283" s="2" t="inlineStr">
        <x:is>
          <x:t xml:space="preserve">F-044</x:t>
        </x:is>
      </x:c>
      <x:c r="E283" s="2" t="inlineStr">
        <x:is>
          <x:t xml:space="preserve">Last_Updated_By</x:t>
        </x:is>
      </x:c>
      <x:c r="F283" s="2" t="inlineStr">
        <x:is>
          <x:t xml:space="preserve"/>
        </x:is>
      </x:c>
      <x:c r="G283" s="2" t="inlineStr">
        <x:is>
          <x:t xml:space="preserve">ChatGPT</x:t>
        </x:is>
      </x:c>
      <x:c r="H283" s="2" t="inlineStr">
        <x:is>
          <x:t xml:space="preserve">Timestamp tracking added.</x:t>
        </x:is>
      </x:c>
      <x:c r="I283" s="2" t="inlineStr">
        <x:is>
          <x:t xml:space="preserve">PDF SECTION 4 item 11 + Mobile Apps table (flutter analyze/test pass)</x:t>
        </x:is>
      </x:c>
    </x:row>
    <x:row r="284">
      <x:c r="A284" s="2" t="inlineStr">
        <x:is>
          <x:t xml:space="preserve">C-000283</x:t>
        </x:is>
      </x:c>
      <x:c r="B284" s="8" t="n">
        <x:v>46030.15761975694</x:v>
      </x:c>
      <x:c r="C284" s="2" t="inlineStr">
        <x:is>
          <x:t xml:space="preserve">FULL_STACK_FEATURE_MATRIX</x:t>
        </x:is>
      </x:c>
      <x:c r="D284" s="2" t="inlineStr">
        <x:is>
          <x:t xml:space="preserve">F-044</x:t>
        </x:is>
      </x:c>
      <x:c r="E284" s="2" t="inlineStr">
        <x:is>
          <x:t xml:space="preserve">Evidence_Ref</x:t>
        </x:is>
      </x:c>
      <x:c r="F284" s="2" t="inlineStr">
        <x:is>
          <x:t xml:space="preserve"/>
        </x:is>
      </x:c>
      <x:c r="G284" s="2" t="inlineStr">
        <x:is>
          <x:t xml:space="preserve">PDF SECTION 4 item 11 + Mobile Apps table (flutter analyze/test pass)</x:t>
        </x:is>
      </x:c>
      <x:c r="H284" s="2" t="inlineStr">
        <x:is>
          <x:t xml:space="preserve">Evidence tracking added.</x:t>
        </x:is>
      </x:c>
      <x:c r="I284" s="2" t="inlineStr">
        <x:is>
          <x:t xml:space="preserve">PDF SECTION 4 item 11 + Mobile Apps table (flutter analyze/test pass)</x:t>
        </x:is>
      </x:c>
    </x:row>
    <x:row r="285">
      <x:c r="A285" s="2" t="inlineStr">
        <x:is>
          <x:t xml:space="preserve">C-000284</x:t>
        </x:is>
      </x:c>
      <x:c r="B285" s="8" t="n">
        <x:v>46030.15761975694</x:v>
      </x:c>
      <x:c r="C285" s="2" t="inlineStr">
        <x:is>
          <x:t xml:space="preserve">PROGRESS_CALCULATION</x:t>
        </x:is>
      </x:c>
      <x:c r="D285" s="2" t="inlineStr">
        <x:is>
          <x:t xml:space="preserve">__FORMULAS__</x:t>
        </x:is>
      </x:c>
      <x:c r="E285" s="2" t="inlineStr">
        <x:is>
          <x:t xml:space="preserve">Formulas</x:t>
        </x:is>
      </x:c>
      <x:c r="F285" s="2" t="inlineStr">
        <x:is>
          <x:t xml:space="preserve">Dynamic array/unsupported formulas present (#NAME/#VALUE)</x:t>
        </x:is>
      </x:c>
      <x:c r="G285" s="2" t="inlineStr">
        <x:is>
          <x:t xml:space="preserve">Brutal formulas only (AVERAGEIF + MIN + SUMPRODUCT weights) derived from FULL_STACK_FEATURE_MATRIX</x:t>
        </x:is>
      </x:c>
      <x:c r="H285" s="2" t="inlineStr">
        <x:is>
          <x:t xml:space="preserve">Phase C: remove unsupported functions; enforce brutal MIN rule and weighted overall.</x:t>
        </x:is>
      </x:c>
      <x:c r="I285" s="2" t="inlineStr">
        <x:is>
          <x:t xml:space="preserve">N/A</x:t>
        </x:is>
      </x:c>
    </x:row>
    <x:row r="286">
      <x:c r="A286" s="2" t="inlineStr">
        <x:is>
          <x:t xml:space="preserve">C-000285</x:t>
        </x:is>
      </x:c>
      <x:c r="B286" s="8" t="n">
        <x:v>46030.15761975694</x:v>
      </x:c>
      <x:c r="C286" s="2" t="inlineStr">
        <x:is>
          <x:t xml:space="preserve">GAP_ANALYSIS</x:t>
        </x:is>
      </x:c>
      <x:c r="D286" s="2" t="inlineStr">
        <x:is>
          <x:t xml:space="preserve">__REBUILD__</x:t>
        </x:is>
      </x:c>
      <x:c r="E286" s="2" t="inlineStr">
        <x:is>
          <x:t xml:space="preserve">Rows</x:t>
        </x:is>
      </x:c>
      <x:c r="F286" s="2" t="inlineStr">
        <x:is>
          <x:t xml:space="preserve">Mixed/embedded in feature matrix</x:t>
        </x:is>
      </x:c>
      <x:c r="G286" s="2" t="inlineStr">
        <x:is>
          <x:t xml:space="preserve">Derived 75 gap rows from matrix statuses</x:t>
        </x:is>
      </x:c>
      <x:c r="H286" s="2" t="inlineStr">
        <x:is>
          <x:t xml:space="preserve">Phase B: GAP_ANALYSIS must contain only derived gaps.</x:t>
        </x:is>
      </x:c>
      <x:c r="I286" s="2" t="inlineStr">
        <x:is>
          <x:t xml:space="preserve">N/A</x:t>
        </x:is>
      </x:c>
    </x:row>
    <x:row r="287">
      <x:c r="A287" s="2" t="inlineStr">
        <x:is>
          <x:t xml:space="preserve">C-000286</x:t>
        </x:is>
      </x:c>
      <x:c r="B287" s="8" t="n">
        <x:v>46030.15761975694</x:v>
      </x:c>
      <x:c r="C287" s="2" t="inlineStr">
        <x:is>
          <x:t xml:space="preserve">EXECUTION_BACKLOG</x:t>
        </x:is>
      </x:c>
      <x:c r="D287" s="2" t="inlineStr">
        <x:is>
          <x:t xml:space="preserve">__REBUILD__</x:t>
        </x:is>
      </x:c>
      <x:c r="E287" s="2" t="inlineStr">
        <x:is>
          <x:t xml:space="preserve">Rows</x:t>
        </x:is>
      </x:c>
      <x:c r="F287" s="2" t="inlineStr">
        <x:is>
          <x:t xml:space="preserve">May be incomplete</x:t>
        </x:is>
      </x:c>
      <x:c r="G287" s="2" t="inlineStr">
        <x:is>
          <x:t xml:space="preserve">Created 22 executable tasks from blockers/gaps</x:t>
        </x:is>
      </x:c>
      <x:c r="H287" s="2" t="inlineStr">
        <x:is>
          <x:t xml:space="preserve">Phase B: convert blockers into concrete tasks with deps.</x:t>
        </x:is>
      </x:c>
      <x:c r="I287" s="2" t="inlineStr">
        <x:is>
          <x:t xml:space="preserve">PDF SECTION 12 blockers + SECTION 5/6 gaps</x:t>
        </x:is>
      </x:c>
    </x:row>
    <x:row r="288">
      <x:c r="A288" s="2" t="inlineStr">
        <x:is>
          <x:t xml:space="preserve">C-000287</x:t>
        </x:is>
      </x:c>
      <x:c r="B288" s="8" t="n">
        <x:v>46030.15761975694</x:v>
      </x:c>
      <x:c r="C288" s="2" t="inlineStr">
        <x:is>
          <x:t xml:space="preserve">PROMPT_LOG</x:t>
        </x:is>
      </x:c>
      <x:c r="D288" s="2" t="inlineStr">
        <x:is>
          <x:t xml:space="preserve">P-0001</x:t>
        </x:is>
      </x:c>
      <x:c r="E288" s="2" t="inlineStr">
        <x:is>
          <x:t xml:space="preserve">New_Row</x:t>
        </x:is>
      </x:c>
      <x:c r="F288" s="2" t="inlineStr">
        <x:is>
          <x:t xml:space="preserve"/>
        </x:is>
      </x:c>
      <x:c r="G288" s="2" t="inlineStr">
        <x:is>
          <x:t xml:space="preserve">Created</x:t>
        </x:is>
      </x:c>
      <x:c r="H288" s="2" t="inlineStr">
        <x:is>
          <x:t xml:space="preserve">First run entry created with generated Copilot prompt.</x:t>
        </x:is>
      </x:c>
      <x:c r="I288" s="2" t="inlineStr">
        <x:is>
          <x:t xml:space="preserve">N/A</x:t>
        </x:is>
      </x:c>
    </x:row>
    <x:row r="289">
      <x:c r="A289" s="2" t="inlineStr">
        <x:is>
          <x:t xml:space="preserve">C-000288</x:t>
        </x:is>
      </x:c>
      <x:c r="B289" s="8" t="n">
        <x:v>46030.15761975694</x:v>
      </x:c>
      <x:c r="C289" s="2" t="inlineStr">
        <x:is>
          <x:t xml:space="preserve">PROGRESS_CALCULATION</x:t>
        </x:is>
      </x:c>
      <x:c r="D289" s="2" t="inlineStr">
        <x:is>
          <x:t xml:space="preserve">__FORMULAS__</x:t>
        </x:is>
      </x:c>
      <x:c r="E289" s="2" t="inlineStr">
        <x:is>
          <x:t xml:space="preserve">Frontend formulas</x:t>
        </x:is>
      </x:c>
      <x:c r="F289" s="2" t="inlineStr">
        <x:is>
          <x:t xml:space="preserve">AVERAGEIF (artifact calc returned 0)</x:t>
        </x:is>
      </x:c>
      <x:c r="G289" s="2" t="inlineStr">
        <x:is>
          <x:t xml:space="preserve">SUMIF/COUNTIF (more robust)</x:t>
        </x:is>
      </x:c>
      <x:c r="H289" s="2" t="inlineStr">
        <x:is>
          <x:t xml:space="preserve">Ensure cached values compute correctly and avoid IFERROR-&gt;0 due to evaluator limitations.</x:t>
        </x:is>
      </x:c>
      <x:c r="I289" s="2" t="inlineStr">
        <x:is>
          <x:t xml:space="preserve">N/A</x:t>
        </x:is>
      </x:c>
    </x:row>
    <x:row r="290">
      <x:c r="A290" s="2" t="inlineStr">
        <x:is>
          <x:t xml:space="preserve">C-000289</x:t>
        </x:is>
      </x:c>
      <x:c r="B290" s="8" t="n">
        <x:v>46030.15761975992</x:v>
      </x:c>
      <x:c r="C290" s="2" t="inlineStr">
        <x:is>
          <x:t xml:space="preserve">PROGRESS_CALCULATION</x:t>
        </x:is>
      </x:c>
      <x:c r="D290" s="2" t="inlineStr">
        <x:is>
          <x:t xml:space="preserve">__FORMULAS__</x:t>
        </x:is>
      </x:c>
      <x:c r="E290" s="2" t="inlineStr">
        <x:is>
          <x:t xml:space="preserve">App progress formulas</x:t>
        </x:is>
      </x:c>
      <x:c r="F290" s="2" t="inlineStr">
        <x:is>
          <x:t xml:space="preserve">SUMIF/COUNTIF (evaluator returned 0)</x:t>
        </x:is>
      </x:c>
      <x:c r="G290" s="2" t="inlineStr">
        <x:is>
          <x:t xml:space="preserve">SUMPRODUCT criteria (more compatible)</x:t>
        </x:is>
      </x:c>
      <x:c r="H290" s="2" t="inlineStr">
        <x:is>
          <x:t xml:space="preserve">Ensure formulas compute via SUMPRODUCT; still brutal and avoids dynamic arrays.</x:t>
        </x:is>
      </x:c>
      <x:c r="I290" s="2" t="inlineStr">
        <x:is>
          <x:t xml:space="preserve">N/A</x:t>
        </x:is>
      </x:c>
    </x:row>
  </x:sheetData>
  <x:pageMargins left="0.7" right="0.7" top="0.75" bottom="0.75" header="0.3" footer="0.3"/>
</x:worksheet>
</file>